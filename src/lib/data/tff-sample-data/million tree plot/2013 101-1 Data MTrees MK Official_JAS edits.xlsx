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Default Extension="bin" ContentType="application/vnd.openxmlformats-officedocument.spreadsheetml.printerSettings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040" activeTab="1"/>
  </bookViews>
  <sheets>
    <sheet name="Sapling Mortality" sheetId="1" r:id="rId1"/>
    <sheet name="Herbaceous Cover and Seedlings" sheetId="2" r:id="rId2"/>
    <sheet name="Additional Species" sheetId="3" r:id="rId3"/>
    <sheet name="Site Characteristics" sheetId="4" r:id="rId4"/>
    <sheet name="Regeneration" sheetId="9" r:id="rId5"/>
    <sheet name="Mortality rates" sheetId="11" r:id="rId6"/>
    <sheet name="Quantity" sheetId="10" r:id="rId7"/>
    <sheet name="Herbaceous Percent Cover in 40m" sheetId="15" r:id="rId8"/>
  </sheets>
  <calcPr calcId="114210"/>
</workbook>
</file>

<file path=xl/calcChain.xml><?xml version="1.0" encoding="utf-8"?>
<calcChain xmlns="http://schemas.openxmlformats.org/spreadsheetml/2006/main">
  <c r="O57" i="2"/>
  <c r="O58"/>
  <c r="O59"/>
  <c r="O60"/>
  <c r="O61"/>
  <c r="O62"/>
  <c r="O63"/>
  <c r="O64"/>
  <c r="O65"/>
  <c r="O66"/>
  <c r="O67"/>
  <c r="O68"/>
  <c r="O69"/>
  <c r="O70"/>
  <c r="O71"/>
  <c r="O72"/>
  <c r="O73"/>
  <c r="O42"/>
  <c r="O43"/>
  <c r="O44"/>
  <c r="O45"/>
  <c r="O46"/>
  <c r="O47"/>
  <c r="O48"/>
  <c r="O49"/>
  <c r="O50"/>
  <c r="O51"/>
  <c r="O52"/>
  <c r="O53"/>
  <c r="O54"/>
  <c r="O55"/>
  <c r="O56"/>
  <c r="O27"/>
  <c r="O28"/>
  <c r="O29"/>
  <c r="O30"/>
  <c r="O31"/>
  <c r="O32"/>
  <c r="O33"/>
  <c r="O34"/>
  <c r="O35"/>
  <c r="O36"/>
  <c r="O37"/>
  <c r="O38"/>
  <c r="O39"/>
  <c r="O40"/>
  <c r="O22"/>
  <c r="O23"/>
  <c r="O24"/>
  <c r="O25"/>
  <c r="O26"/>
  <c r="O21"/>
  <c r="O13"/>
  <c r="O11"/>
  <c r="O9"/>
  <c r="O8"/>
  <c r="O7"/>
  <c r="O6"/>
  <c r="O3"/>
</calcChain>
</file>

<file path=xl/sharedStrings.xml><?xml version="1.0" encoding="utf-8"?>
<sst xmlns="http://schemas.openxmlformats.org/spreadsheetml/2006/main" count="2463" uniqueCount="241">
  <si>
    <t>Species (Common or Scientific Name)</t>
  </si>
  <si>
    <t>Survival (1 Alive, 0 Dead)</t>
  </si>
  <si>
    <t>Leader Stem ( 1 Alive, 0 Dead)</t>
  </si>
  <si>
    <t>Lir Tul</t>
  </si>
  <si>
    <t>Viv den</t>
  </si>
  <si>
    <t>Pru Ser</t>
  </si>
  <si>
    <t>Quercus</t>
  </si>
  <si>
    <t>Paulonia</t>
  </si>
  <si>
    <t>Car Ova</t>
  </si>
  <si>
    <t>Beech Tree</t>
  </si>
  <si>
    <t>Mor Alb</t>
  </si>
  <si>
    <t>Nyssa</t>
  </si>
  <si>
    <t>Bet Len</t>
  </si>
  <si>
    <t>Weedy Apple</t>
  </si>
  <si>
    <t>Norway Maple</t>
  </si>
  <si>
    <t>Que Vel</t>
  </si>
  <si>
    <t>Phe Amu</t>
  </si>
  <si>
    <t>Fra Ame</t>
  </si>
  <si>
    <t>Quercus Vel</t>
  </si>
  <si>
    <t>Green Ash</t>
  </si>
  <si>
    <t>Weedy Cherry</t>
  </si>
  <si>
    <t>Nys Syl</t>
  </si>
  <si>
    <t>Que Alb</t>
  </si>
  <si>
    <t>Carya Ora</t>
  </si>
  <si>
    <t>Red Maple</t>
  </si>
  <si>
    <t>Carpinus Car</t>
  </si>
  <si>
    <t>Sweetgum</t>
  </si>
  <si>
    <t>Swamp White Oak</t>
  </si>
  <si>
    <t>Red Oak</t>
  </si>
  <si>
    <t>Lin Ben</t>
  </si>
  <si>
    <t>Plot</t>
  </si>
  <si>
    <t>Comment</t>
  </si>
  <si>
    <t>Date</t>
  </si>
  <si>
    <t xml:space="preserve">Personnel </t>
  </si>
  <si>
    <t>Diameter (cm)</t>
  </si>
  <si>
    <t>101-1</t>
  </si>
  <si>
    <t>July 17, 2013</t>
  </si>
  <si>
    <t>M. Krause and J. Schuler</t>
  </si>
  <si>
    <t>Corner</t>
  </si>
  <si>
    <t>Genus/Soil</t>
  </si>
  <si>
    <t>species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</si>
  <si>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</si>
  <si>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</si>
  <si>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</si>
  <si>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</si>
  <si>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</si>
  <si>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</si>
  <si>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</si>
  <si>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</si>
  <si>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</si>
  <si>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</si>
  <si>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SUM</t>
  </si>
  <si>
    <t>cm occupied by species in each meter</t>
  </si>
  <si>
    <t xml:space="preserve">101-1 </t>
  </si>
  <si>
    <t>NW</t>
  </si>
  <si>
    <t>Cir</t>
  </si>
  <si>
    <t>Lut</t>
  </si>
  <si>
    <t>Unknown #1</t>
  </si>
  <si>
    <t>Tox</t>
  </si>
  <si>
    <t>Rad</t>
  </si>
  <si>
    <t>/</t>
  </si>
  <si>
    <t>Virginia Creeper</t>
  </si>
  <si>
    <t>Bare Soil</t>
  </si>
  <si>
    <t>Leaf Litter</t>
  </si>
  <si>
    <t>Pol</t>
  </si>
  <si>
    <t>Pub</t>
  </si>
  <si>
    <t>White Woodaster</t>
  </si>
  <si>
    <t>Ara</t>
  </si>
  <si>
    <t>Ela</t>
  </si>
  <si>
    <t>CWD</t>
  </si>
  <si>
    <t>Pru</t>
  </si>
  <si>
    <t>Ser</t>
  </si>
  <si>
    <t>Lir</t>
  </si>
  <si>
    <t>Tul</t>
  </si>
  <si>
    <t>LIQ</t>
  </si>
  <si>
    <t>STU</t>
  </si>
  <si>
    <t>Soli</t>
  </si>
  <si>
    <t>Dago</t>
  </si>
  <si>
    <t>AMP</t>
  </si>
  <si>
    <t>Bre</t>
  </si>
  <si>
    <t>Tree</t>
  </si>
  <si>
    <t>Trunk</t>
  </si>
  <si>
    <t>Wineberry</t>
  </si>
  <si>
    <t>Jumpseed</t>
  </si>
  <si>
    <t>SW</t>
  </si>
  <si>
    <t>Aralia</t>
  </si>
  <si>
    <t>Wild Strawberry</t>
  </si>
  <si>
    <t>Enchanters Nightshade</t>
  </si>
  <si>
    <t>DayFlower</t>
  </si>
  <si>
    <t>Bitternut Hickory</t>
  </si>
  <si>
    <t>Creeping Rubis</t>
  </si>
  <si>
    <t>Golden Rod (UNKNOWN)</t>
  </si>
  <si>
    <t>Rubis AlyGan (Blackberry)</t>
  </si>
  <si>
    <t>Lindin Viburnc</t>
  </si>
  <si>
    <t>Roundstem Rubis</t>
  </si>
  <si>
    <t>Eupitorium</t>
  </si>
  <si>
    <t>Virgosum</t>
  </si>
  <si>
    <t>CorkTree</t>
  </si>
  <si>
    <t>NE</t>
  </si>
  <si>
    <t>Par</t>
  </si>
  <si>
    <t>Qui</t>
  </si>
  <si>
    <t>Unknown Seedling</t>
  </si>
  <si>
    <t xml:space="preserve">Hed </t>
  </si>
  <si>
    <t>Hel</t>
  </si>
  <si>
    <t>Div</t>
  </si>
  <si>
    <t>Eur</t>
  </si>
  <si>
    <t xml:space="preserve">Roundleaf </t>
  </si>
  <si>
    <t>Rubis</t>
  </si>
  <si>
    <t>Phy</t>
  </si>
  <si>
    <t>Amer</t>
  </si>
  <si>
    <t>Phe</t>
  </si>
  <si>
    <t>Amu</t>
  </si>
  <si>
    <t>SE</t>
  </si>
  <si>
    <t>Rock</t>
  </si>
  <si>
    <t>Eup</t>
  </si>
  <si>
    <t>Rug</t>
  </si>
  <si>
    <t>Que</t>
  </si>
  <si>
    <t>Rub</t>
  </si>
  <si>
    <t>Sp.</t>
  </si>
  <si>
    <t>Glass</t>
  </si>
  <si>
    <t>Ile</t>
  </si>
  <si>
    <t>Opa</t>
  </si>
  <si>
    <t>All</t>
  </si>
  <si>
    <t>Cel</t>
  </si>
  <si>
    <t>Orb</t>
  </si>
  <si>
    <t>Personnel</t>
  </si>
  <si>
    <t>Bittersweet</t>
  </si>
  <si>
    <t>Poke Weed</t>
  </si>
  <si>
    <t>Spice Bush</t>
  </si>
  <si>
    <t>Vib</t>
  </si>
  <si>
    <t>dil</t>
  </si>
  <si>
    <t>sp.</t>
  </si>
  <si>
    <t>Hydrologic features. (0, 0-20, 20-40, 40-60, 60-80, 80-100)</t>
  </si>
  <si>
    <t>Soil surface cover (0, 0-20, 20-40, 40-60, 60-80, 80-100)</t>
  </si>
  <si>
    <t>Human impacts (0, 0-20, 20-40, 40-60, 60-80, 80-100)</t>
  </si>
  <si>
    <t>Topography</t>
  </si>
  <si>
    <t>Animal Activity</t>
  </si>
  <si>
    <t>Adjacencies</t>
  </si>
  <si>
    <t>Pond</t>
  </si>
  <si>
    <t>Stream</t>
  </si>
  <si>
    <t>Perennial</t>
  </si>
  <si>
    <t>Ephemeral</t>
  </si>
  <si>
    <t>Flood debris</t>
  </si>
  <si>
    <t>Gully</t>
  </si>
  <si>
    <t>Sheet erosion</t>
  </si>
  <si>
    <t>Other</t>
  </si>
  <si>
    <t>Leaf litter</t>
  </si>
  <si>
    <t>Woody debris</t>
  </si>
  <si>
    <t>Rock outcrop</t>
  </si>
  <si>
    <t>Bare soil</t>
  </si>
  <si>
    <t>Built structure</t>
  </si>
  <si>
    <t xml:space="preserve">Garbage </t>
  </si>
  <si>
    <t>Plant damage</t>
  </si>
  <si>
    <t>Official trail</t>
  </si>
  <si>
    <t>Informal trail</t>
  </si>
  <si>
    <t>Tire tracks</t>
  </si>
  <si>
    <t>Campfire</t>
  </si>
  <si>
    <t>Aspect (degree)</t>
  </si>
  <si>
    <t>Slope (%)</t>
  </si>
  <si>
    <t>Surface texture (planar, mound/ pit; describe)</t>
  </si>
  <si>
    <t>% Cover (20% increments)</t>
  </si>
  <si>
    <t>Road</t>
  </si>
  <si>
    <t>Parking lot</t>
  </si>
  <si>
    <t>Building</t>
  </si>
  <si>
    <t>Forest</t>
  </si>
  <si>
    <t>Lawn</t>
  </si>
  <si>
    <t>0-20</t>
  </si>
  <si>
    <t>20-40</t>
  </si>
  <si>
    <t>60-80</t>
  </si>
  <si>
    <r>
      <t>48</t>
    </r>
    <r>
      <rPr>
        <sz val="11"/>
        <color indexed="8"/>
        <rFont val="Calibri"/>
        <family val="2"/>
      </rPr>
      <t>⁰</t>
    </r>
  </si>
  <si>
    <t>Planar</t>
  </si>
  <si>
    <t>X</t>
  </si>
  <si>
    <t>Cover in Meter</t>
  </si>
  <si>
    <t>Percent</t>
  </si>
  <si>
    <t xml:space="preserve"> Rug</t>
  </si>
  <si>
    <t>Aralia Elata</t>
  </si>
  <si>
    <t>Quantity</t>
  </si>
  <si>
    <t>Species</t>
  </si>
  <si>
    <t>Year</t>
  </si>
  <si>
    <t>Bet Lent</t>
  </si>
  <si>
    <t>Frax Penn</t>
  </si>
  <si>
    <t>Car Car</t>
  </si>
  <si>
    <t>Fra Amer</t>
  </si>
  <si>
    <t>10 Dead</t>
  </si>
  <si>
    <t>Pauloria</t>
  </si>
  <si>
    <t xml:space="preserve"> 1 Dead</t>
  </si>
  <si>
    <t>Viv Den</t>
  </si>
  <si>
    <t xml:space="preserve">Weedy Cherry </t>
  </si>
  <si>
    <t>2 Dead</t>
  </si>
  <si>
    <t>Percent of Regeneration</t>
  </si>
  <si>
    <t>Rate by Percent</t>
  </si>
  <si>
    <t>Fraxinus Pennsylvanica</t>
  </si>
  <si>
    <t>Betula Lenta</t>
  </si>
  <si>
    <t>Liriodendron Tulipfera</t>
  </si>
  <si>
    <t>Prunus Serotina</t>
  </si>
  <si>
    <t>Aralia Eleta</t>
  </si>
  <si>
    <t>Fagus Sylvatica</t>
  </si>
  <si>
    <t>Carya Ovalis</t>
  </si>
  <si>
    <t>Carpinus Caroliniana</t>
  </si>
  <si>
    <t>Fraxinus Americana</t>
  </si>
  <si>
    <t>Ben Linden</t>
  </si>
  <si>
    <t>Morus Alba</t>
  </si>
  <si>
    <t>Acer Platenoides</t>
  </si>
  <si>
    <t>Nyssa Sylvatica</t>
  </si>
  <si>
    <t>Paulownia</t>
  </si>
  <si>
    <t>Phellodendron Amurense</t>
  </si>
  <si>
    <t>Quercus Velutina</t>
  </si>
  <si>
    <t>Quercus  Alba</t>
  </si>
  <si>
    <t>Viburnum Dentatum</t>
  </si>
  <si>
    <t>Liquidambar Styraciflua</t>
  </si>
  <si>
    <t>Quercus Bicolor</t>
  </si>
  <si>
    <t>Quercus Rubra</t>
  </si>
  <si>
    <t>Acer Rubrum</t>
  </si>
  <si>
    <t xml:space="preserve">Regeneration in tree per year </t>
  </si>
  <si>
    <t>Mortality in tree per year</t>
  </si>
  <si>
    <t>Percent of Cover</t>
  </si>
  <si>
    <t>TOTAL cover in meters of the 40m</t>
  </si>
  <si>
    <t>Grapevine</t>
  </si>
  <si>
    <t>rubra</t>
  </si>
  <si>
    <t>rugosum</t>
  </si>
  <si>
    <t>rub</t>
  </si>
  <si>
    <t>ens</t>
  </si>
  <si>
    <t>rubus</t>
  </si>
  <si>
    <t>viburnum</t>
  </si>
  <si>
    <t>dilitatum</t>
  </si>
  <si>
    <t>elata</t>
  </si>
  <si>
    <t>cir</t>
  </si>
  <si>
    <t>lut</t>
  </si>
  <si>
    <t>commelina</t>
  </si>
  <si>
    <t>communis</t>
  </si>
  <si>
    <t xml:space="preserve">carya </t>
  </si>
  <si>
    <t>cordiformis</t>
  </si>
  <si>
    <t>phoe</t>
  </si>
  <si>
    <t>solidago</t>
  </si>
  <si>
    <t>sp</t>
  </si>
  <si>
    <t>Rubus</t>
  </si>
  <si>
    <t>alleghan</t>
  </si>
  <si>
    <t>eurybia</t>
  </si>
  <si>
    <t>divaricata</t>
  </si>
  <si>
    <t>phe</t>
  </si>
  <si>
    <t>amur</t>
  </si>
</sst>
</file>

<file path=xl/styles.xml><?xml version="1.0" encoding="utf-8"?>
<styleSheet xmlns="http://schemas.openxmlformats.org/spreadsheetml/2006/main">
  <numFmts count="2">
    <numFmt numFmtId="164" formatCode="0.0"/>
    <numFmt numFmtId="165" formatCode="mmmm\ d\,\ yyyy"/>
  </numFmts>
  <fonts count="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name val="Arial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mbria"/>
      <family val="1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49" fontId="3" fillId="0" borderId="0" xfId="0" applyNumberFormat="1" applyFont="1"/>
    <xf numFmtId="1" fontId="2" fillId="0" borderId="0" xfId="0" applyNumberFormat="1" applyFont="1"/>
    <xf numFmtId="49" fontId="0" fillId="0" borderId="0" xfId="0" applyNumberFormat="1"/>
    <xf numFmtId="1" fontId="0" fillId="2" borderId="0" xfId="0" applyNumberFormat="1" applyFill="1"/>
    <xf numFmtId="0" fontId="0" fillId="0" borderId="0" xfId="0" applyAlignment="1">
      <alignment horizontal="right"/>
    </xf>
    <xf numFmtId="14" fontId="0" fillId="0" borderId="0" xfId="0" applyNumberFormat="1"/>
    <xf numFmtId="49" fontId="2" fillId="0" borderId="0" xfId="0" applyNumberFormat="1" applyFont="1" applyFill="1"/>
    <xf numFmtId="0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7" borderId="0" xfId="0" applyNumberFormat="1" applyFill="1"/>
    <xf numFmtId="0" fontId="2" fillId="0" borderId="0" xfId="0" applyNumberFormat="1" applyFont="1"/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0" xfId="0" applyFill="1" applyBorder="1"/>
    <xf numFmtId="0" fontId="0" fillId="0" borderId="2" xfId="0" applyBorder="1"/>
    <xf numFmtId="0" fontId="6" fillId="0" borderId="2" xfId="0" applyFont="1" applyBorder="1" applyAlignment="1">
      <alignment horizontal="left" wrapText="1"/>
    </xf>
    <xf numFmtId="0" fontId="1" fillId="3" borderId="2" xfId="0" applyFont="1" applyFill="1" applyBorder="1"/>
    <xf numFmtId="0" fontId="0" fillId="8" borderId="2" xfId="0" applyFill="1" applyBorder="1"/>
    <xf numFmtId="0" fontId="7" fillId="9" borderId="2" xfId="0" applyFont="1" applyFill="1" applyBorder="1"/>
    <xf numFmtId="0" fontId="8" fillId="9" borderId="0" xfId="0" applyFont="1" applyFill="1"/>
    <xf numFmtId="0" fontId="0" fillId="10" borderId="2" xfId="0" applyFill="1" applyBorder="1"/>
    <xf numFmtId="0" fontId="0" fillId="10" borderId="0" xfId="0" applyFill="1"/>
    <xf numFmtId="0" fontId="5" fillId="10" borderId="2" xfId="0" applyFont="1" applyFill="1" applyBorder="1"/>
    <xf numFmtId="0" fontId="0" fillId="0" borderId="0" xfId="0" applyBorder="1"/>
    <xf numFmtId="49" fontId="3" fillId="0" borderId="0" xfId="0" applyNumberFormat="1" applyFont="1" applyFill="1"/>
    <xf numFmtId="0" fontId="8" fillId="7" borderId="2" xfId="0" applyFont="1" applyFill="1" applyBorder="1"/>
    <xf numFmtId="0" fontId="8" fillId="10" borderId="2" xfId="0" applyFont="1" applyFill="1" applyBorder="1"/>
    <xf numFmtId="0" fontId="0" fillId="11" borderId="0" xfId="0" applyFill="1"/>
    <xf numFmtId="0" fontId="0" fillId="11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1"/>
  <sheetViews>
    <sheetView workbookViewId="0">
      <selection activeCell="B9" sqref="B9"/>
    </sheetView>
  </sheetViews>
  <sheetFormatPr defaultRowHeight="15"/>
  <cols>
    <col min="1" max="1" width="8.28515625" customWidth="1"/>
    <col min="2" max="2" width="35" bestFit="1" customWidth="1"/>
    <col min="3" max="3" width="22.7109375" customWidth="1"/>
    <col min="4" max="4" width="13.85546875" customWidth="1"/>
    <col min="5" max="5" width="26.7109375" customWidth="1"/>
    <col min="7" max="7" width="12.28515625" customWidth="1"/>
    <col min="8" max="8" width="22" customWidth="1"/>
  </cols>
  <sheetData>
    <row r="1" spans="1:9">
      <c r="A1" s="1" t="s">
        <v>30</v>
      </c>
      <c r="B1" s="4" t="s">
        <v>0</v>
      </c>
      <c r="C1" s="4" t="s">
        <v>1</v>
      </c>
      <c r="D1" s="4" t="s">
        <v>34</v>
      </c>
      <c r="E1" s="4" t="s">
        <v>2</v>
      </c>
      <c r="F1" s="1" t="s">
        <v>31</v>
      </c>
      <c r="G1" s="3" t="s">
        <v>32</v>
      </c>
      <c r="H1" s="1" t="s">
        <v>33</v>
      </c>
    </row>
    <row r="2" spans="1:9">
      <c r="A2" t="s">
        <v>35</v>
      </c>
      <c r="B2" t="s">
        <v>175</v>
      </c>
      <c r="C2">
        <v>1</v>
      </c>
      <c r="D2">
        <v>1.1000000000000001</v>
      </c>
      <c r="E2">
        <v>1</v>
      </c>
      <c r="G2" s="5" t="s">
        <v>36</v>
      </c>
      <c r="H2" t="s">
        <v>37</v>
      </c>
      <c r="I2" s="1"/>
    </row>
    <row r="3" spans="1:9">
      <c r="A3" t="s">
        <v>35</v>
      </c>
      <c r="B3" t="s">
        <v>175</v>
      </c>
      <c r="C3">
        <v>1</v>
      </c>
      <c r="D3">
        <v>1.6</v>
      </c>
      <c r="E3">
        <v>1</v>
      </c>
      <c r="G3" s="5" t="s">
        <v>36</v>
      </c>
      <c r="H3" t="s">
        <v>37</v>
      </c>
    </row>
    <row r="4" spans="1:9">
      <c r="A4" t="s">
        <v>35</v>
      </c>
      <c r="B4" t="s">
        <v>175</v>
      </c>
      <c r="C4">
        <v>1</v>
      </c>
      <c r="D4">
        <v>1.7</v>
      </c>
      <c r="E4">
        <v>1</v>
      </c>
      <c r="G4" s="5" t="s">
        <v>36</v>
      </c>
      <c r="H4" t="s">
        <v>37</v>
      </c>
    </row>
    <row r="5" spans="1:9">
      <c r="A5" t="s">
        <v>35</v>
      </c>
      <c r="B5" t="s">
        <v>175</v>
      </c>
      <c r="C5">
        <v>1</v>
      </c>
      <c r="D5">
        <v>1.1000000000000001</v>
      </c>
      <c r="E5">
        <v>1</v>
      </c>
      <c r="G5" s="5" t="s">
        <v>36</v>
      </c>
      <c r="H5" t="s">
        <v>37</v>
      </c>
    </row>
    <row r="6" spans="1:9">
      <c r="A6" t="s">
        <v>35</v>
      </c>
      <c r="B6" t="s">
        <v>175</v>
      </c>
      <c r="C6">
        <v>1</v>
      </c>
      <c r="D6">
        <v>1.4</v>
      </c>
      <c r="E6">
        <v>1</v>
      </c>
      <c r="G6" s="5" t="s">
        <v>36</v>
      </c>
      <c r="H6" t="s">
        <v>37</v>
      </c>
    </row>
    <row r="7" spans="1:9">
      <c r="A7" t="s">
        <v>35</v>
      </c>
      <c r="B7" t="s">
        <v>175</v>
      </c>
      <c r="C7">
        <v>1</v>
      </c>
      <c r="D7">
        <v>2</v>
      </c>
      <c r="E7">
        <v>1</v>
      </c>
      <c r="G7" s="5" t="s">
        <v>36</v>
      </c>
      <c r="H7" t="s">
        <v>37</v>
      </c>
    </row>
    <row r="8" spans="1:9">
      <c r="A8" t="s">
        <v>35</v>
      </c>
      <c r="B8" t="s">
        <v>175</v>
      </c>
      <c r="C8">
        <v>1</v>
      </c>
      <c r="D8">
        <v>1</v>
      </c>
      <c r="E8">
        <v>1</v>
      </c>
      <c r="G8" s="5" t="s">
        <v>36</v>
      </c>
      <c r="H8" t="s">
        <v>37</v>
      </c>
    </row>
    <row r="9" spans="1:9">
      <c r="A9" t="s">
        <v>35</v>
      </c>
      <c r="B9" t="s">
        <v>175</v>
      </c>
      <c r="C9">
        <v>1</v>
      </c>
      <c r="D9">
        <v>0.6</v>
      </c>
      <c r="E9">
        <v>1</v>
      </c>
      <c r="G9" s="5" t="s">
        <v>36</v>
      </c>
      <c r="H9" t="s">
        <v>37</v>
      </c>
    </row>
    <row r="10" spans="1:9">
      <c r="A10" t="s">
        <v>35</v>
      </c>
      <c r="B10" t="s">
        <v>175</v>
      </c>
      <c r="C10">
        <v>1</v>
      </c>
      <c r="D10">
        <v>1.4</v>
      </c>
      <c r="E10">
        <v>1</v>
      </c>
      <c r="G10" s="5" t="s">
        <v>36</v>
      </c>
      <c r="H10" t="s">
        <v>37</v>
      </c>
    </row>
    <row r="11" spans="1:9">
      <c r="A11" t="s">
        <v>35</v>
      </c>
      <c r="B11" t="s">
        <v>175</v>
      </c>
      <c r="C11">
        <v>1</v>
      </c>
      <c r="D11">
        <v>1.1000000000000001</v>
      </c>
      <c r="E11">
        <v>1</v>
      </c>
      <c r="G11" s="5" t="s">
        <v>36</v>
      </c>
      <c r="H11" t="s">
        <v>37</v>
      </c>
    </row>
    <row r="12" spans="1:9">
      <c r="A12" t="s">
        <v>35</v>
      </c>
      <c r="B12" t="s">
        <v>175</v>
      </c>
      <c r="C12">
        <v>1</v>
      </c>
      <c r="D12">
        <v>1.1000000000000001</v>
      </c>
      <c r="E12">
        <v>1</v>
      </c>
      <c r="G12" s="5" t="s">
        <v>36</v>
      </c>
      <c r="H12" t="s">
        <v>37</v>
      </c>
    </row>
    <row r="13" spans="1:9">
      <c r="A13" t="s">
        <v>35</v>
      </c>
      <c r="B13" t="s">
        <v>175</v>
      </c>
      <c r="C13">
        <v>1</v>
      </c>
      <c r="D13">
        <v>1</v>
      </c>
      <c r="E13">
        <v>1</v>
      </c>
      <c r="G13" s="5" t="s">
        <v>36</v>
      </c>
      <c r="H13" t="s">
        <v>37</v>
      </c>
    </row>
    <row r="14" spans="1:9">
      <c r="A14" t="s">
        <v>35</v>
      </c>
      <c r="B14" t="s">
        <v>175</v>
      </c>
      <c r="C14">
        <v>1</v>
      </c>
      <c r="D14">
        <v>1.1000000000000001</v>
      </c>
      <c r="E14">
        <v>1</v>
      </c>
      <c r="G14" s="5" t="s">
        <v>36</v>
      </c>
      <c r="H14" t="s">
        <v>37</v>
      </c>
    </row>
    <row r="15" spans="1:9">
      <c r="A15" t="s">
        <v>35</v>
      </c>
      <c r="B15" t="s">
        <v>175</v>
      </c>
      <c r="C15">
        <v>1</v>
      </c>
      <c r="D15">
        <v>1.3</v>
      </c>
      <c r="E15">
        <v>1</v>
      </c>
      <c r="G15" s="5" t="s">
        <v>36</v>
      </c>
      <c r="H15" t="s">
        <v>37</v>
      </c>
    </row>
    <row r="16" spans="1:9">
      <c r="A16" t="s">
        <v>35</v>
      </c>
      <c r="B16" t="s">
        <v>175</v>
      </c>
      <c r="C16">
        <v>1</v>
      </c>
      <c r="D16">
        <v>0.7</v>
      </c>
      <c r="E16">
        <v>1</v>
      </c>
      <c r="G16" s="5" t="s">
        <v>36</v>
      </c>
      <c r="H16" t="s">
        <v>37</v>
      </c>
    </row>
    <row r="17" spans="1:8">
      <c r="A17" t="s">
        <v>35</v>
      </c>
      <c r="B17" t="s">
        <v>175</v>
      </c>
      <c r="C17">
        <v>1</v>
      </c>
      <c r="D17">
        <v>0.8</v>
      </c>
      <c r="E17">
        <v>1</v>
      </c>
      <c r="G17" s="5" t="s">
        <v>36</v>
      </c>
      <c r="H17" t="s">
        <v>37</v>
      </c>
    </row>
    <row r="18" spans="1:8">
      <c r="A18" t="s">
        <v>35</v>
      </c>
      <c r="B18" t="s">
        <v>175</v>
      </c>
      <c r="C18">
        <v>1</v>
      </c>
      <c r="D18">
        <v>0.9</v>
      </c>
      <c r="E18">
        <v>1</v>
      </c>
      <c r="G18" s="5" t="s">
        <v>36</v>
      </c>
      <c r="H18" t="s">
        <v>37</v>
      </c>
    </row>
    <row r="19" spans="1:8">
      <c r="A19" t="s">
        <v>35</v>
      </c>
      <c r="B19" t="s">
        <v>175</v>
      </c>
      <c r="C19">
        <v>1</v>
      </c>
      <c r="D19">
        <v>1.1000000000000001</v>
      </c>
      <c r="E19">
        <v>1</v>
      </c>
      <c r="G19" s="5" t="s">
        <v>36</v>
      </c>
      <c r="H19" t="s">
        <v>37</v>
      </c>
    </row>
    <row r="20" spans="1:8">
      <c r="A20" t="s">
        <v>35</v>
      </c>
      <c r="B20" t="s">
        <v>175</v>
      </c>
      <c r="C20">
        <v>1</v>
      </c>
      <c r="D20">
        <v>2.1</v>
      </c>
      <c r="E20">
        <v>1</v>
      </c>
      <c r="G20" s="5" t="s">
        <v>36</v>
      </c>
      <c r="H20" t="s">
        <v>37</v>
      </c>
    </row>
    <row r="21" spans="1:8">
      <c r="A21" t="s">
        <v>35</v>
      </c>
      <c r="B21" t="s">
        <v>175</v>
      </c>
      <c r="C21">
        <v>1</v>
      </c>
      <c r="D21">
        <v>1.2</v>
      </c>
      <c r="E21">
        <v>1</v>
      </c>
      <c r="G21" s="5" t="s">
        <v>36</v>
      </c>
      <c r="H21" t="s">
        <v>37</v>
      </c>
    </row>
    <row r="22" spans="1:8">
      <c r="A22" t="s">
        <v>35</v>
      </c>
      <c r="B22" t="s">
        <v>175</v>
      </c>
      <c r="C22">
        <v>1</v>
      </c>
      <c r="D22">
        <v>1.5</v>
      </c>
      <c r="E22">
        <v>1</v>
      </c>
      <c r="G22" s="5" t="s">
        <v>36</v>
      </c>
      <c r="H22" t="s">
        <v>37</v>
      </c>
    </row>
    <row r="23" spans="1:8">
      <c r="A23" t="s">
        <v>35</v>
      </c>
      <c r="B23" t="s">
        <v>175</v>
      </c>
      <c r="C23">
        <v>1</v>
      </c>
      <c r="D23">
        <v>2.7</v>
      </c>
      <c r="E23">
        <v>1</v>
      </c>
      <c r="G23" s="5" t="s">
        <v>36</v>
      </c>
      <c r="H23" t="s">
        <v>37</v>
      </c>
    </row>
    <row r="24" spans="1:8">
      <c r="A24" t="s">
        <v>35</v>
      </c>
      <c r="B24" t="s">
        <v>175</v>
      </c>
      <c r="C24">
        <v>1</v>
      </c>
      <c r="D24">
        <v>0.7</v>
      </c>
      <c r="E24">
        <v>1</v>
      </c>
      <c r="G24" s="5" t="s">
        <v>36</v>
      </c>
      <c r="H24" t="s">
        <v>37</v>
      </c>
    </row>
    <row r="25" spans="1:8">
      <c r="A25" t="s">
        <v>35</v>
      </c>
      <c r="B25" t="s">
        <v>175</v>
      </c>
      <c r="C25">
        <v>1</v>
      </c>
      <c r="D25">
        <v>3.5</v>
      </c>
      <c r="E25">
        <v>1</v>
      </c>
      <c r="G25" s="5" t="s">
        <v>36</v>
      </c>
      <c r="H25" t="s">
        <v>37</v>
      </c>
    </row>
    <row r="26" spans="1:8">
      <c r="A26" t="s">
        <v>35</v>
      </c>
      <c r="B26" t="s">
        <v>175</v>
      </c>
      <c r="C26">
        <v>1</v>
      </c>
      <c r="D26">
        <v>1</v>
      </c>
      <c r="E26">
        <v>1</v>
      </c>
      <c r="G26" s="5" t="s">
        <v>36</v>
      </c>
      <c r="H26" t="s">
        <v>37</v>
      </c>
    </row>
    <row r="27" spans="1:8">
      <c r="A27" t="s">
        <v>35</v>
      </c>
      <c r="B27" t="s">
        <v>175</v>
      </c>
      <c r="C27">
        <v>1</v>
      </c>
      <c r="D27">
        <v>3.8</v>
      </c>
      <c r="E27">
        <v>1</v>
      </c>
      <c r="G27" s="5" t="s">
        <v>36</v>
      </c>
      <c r="H27" t="s">
        <v>37</v>
      </c>
    </row>
    <row r="28" spans="1:8">
      <c r="A28" t="s">
        <v>35</v>
      </c>
      <c r="B28" t="s">
        <v>175</v>
      </c>
      <c r="C28">
        <v>1</v>
      </c>
      <c r="D28">
        <v>0.8</v>
      </c>
      <c r="E28">
        <v>1</v>
      </c>
      <c r="G28" s="5" t="s">
        <v>36</v>
      </c>
      <c r="H28" t="s">
        <v>37</v>
      </c>
    </row>
    <row r="29" spans="1:8">
      <c r="A29" t="s">
        <v>35</v>
      </c>
      <c r="B29" t="s">
        <v>175</v>
      </c>
      <c r="C29">
        <v>1</v>
      </c>
      <c r="D29">
        <v>2.1</v>
      </c>
      <c r="E29">
        <v>1</v>
      </c>
      <c r="G29" s="5" t="s">
        <v>36</v>
      </c>
      <c r="H29" t="s">
        <v>37</v>
      </c>
    </row>
    <row r="30" spans="1:8">
      <c r="A30" t="s">
        <v>35</v>
      </c>
      <c r="B30" t="s">
        <v>175</v>
      </c>
      <c r="C30">
        <v>1</v>
      </c>
      <c r="D30">
        <v>1.5</v>
      </c>
      <c r="E30">
        <v>1</v>
      </c>
      <c r="G30" s="5" t="s">
        <v>36</v>
      </c>
      <c r="H30" t="s">
        <v>37</v>
      </c>
    </row>
    <row r="31" spans="1:8">
      <c r="A31" t="s">
        <v>35</v>
      </c>
      <c r="B31" t="s">
        <v>175</v>
      </c>
      <c r="C31">
        <v>1</v>
      </c>
      <c r="D31">
        <v>1</v>
      </c>
      <c r="E31">
        <v>1</v>
      </c>
      <c r="G31" s="5" t="s">
        <v>36</v>
      </c>
      <c r="H31" t="s">
        <v>37</v>
      </c>
    </row>
    <row r="32" spans="1:8">
      <c r="A32" t="s">
        <v>35</v>
      </c>
      <c r="B32" t="s">
        <v>175</v>
      </c>
      <c r="C32">
        <v>1</v>
      </c>
      <c r="D32">
        <v>4.2</v>
      </c>
      <c r="E32">
        <v>1</v>
      </c>
      <c r="G32" s="5" t="s">
        <v>36</v>
      </c>
      <c r="H32" t="s">
        <v>37</v>
      </c>
    </row>
    <row r="33" spans="1:8">
      <c r="A33" t="s">
        <v>35</v>
      </c>
      <c r="B33" t="s">
        <v>175</v>
      </c>
      <c r="C33">
        <v>1</v>
      </c>
      <c r="D33">
        <v>1</v>
      </c>
      <c r="E33">
        <v>1</v>
      </c>
      <c r="G33" s="5" t="s">
        <v>36</v>
      </c>
      <c r="H33" t="s">
        <v>37</v>
      </c>
    </row>
    <row r="34" spans="1:8">
      <c r="A34" t="s">
        <v>35</v>
      </c>
      <c r="B34" t="s">
        <v>9</v>
      </c>
      <c r="C34">
        <v>1</v>
      </c>
      <c r="D34">
        <v>50.4</v>
      </c>
      <c r="E34">
        <v>1</v>
      </c>
      <c r="G34" s="5" t="s">
        <v>36</v>
      </c>
      <c r="H34" t="s">
        <v>37</v>
      </c>
    </row>
    <row r="35" spans="1:8">
      <c r="A35" t="s">
        <v>35</v>
      </c>
      <c r="B35" t="s">
        <v>12</v>
      </c>
      <c r="C35">
        <v>1</v>
      </c>
      <c r="D35">
        <v>2.2999999999999998</v>
      </c>
      <c r="E35">
        <v>1</v>
      </c>
      <c r="G35" s="5" t="s">
        <v>36</v>
      </c>
      <c r="H35" t="s">
        <v>37</v>
      </c>
    </row>
    <row r="36" spans="1:8">
      <c r="A36" t="s">
        <v>35</v>
      </c>
      <c r="B36" t="s">
        <v>12</v>
      </c>
      <c r="C36">
        <v>1</v>
      </c>
      <c r="D36">
        <v>2.2999999999999998</v>
      </c>
      <c r="E36">
        <v>1</v>
      </c>
      <c r="G36" s="5" t="s">
        <v>36</v>
      </c>
      <c r="H36" t="s">
        <v>37</v>
      </c>
    </row>
    <row r="37" spans="1:8">
      <c r="A37" t="s">
        <v>35</v>
      </c>
      <c r="B37" t="s">
        <v>12</v>
      </c>
      <c r="C37">
        <v>1</v>
      </c>
      <c r="D37">
        <v>5</v>
      </c>
      <c r="E37">
        <v>1</v>
      </c>
      <c r="G37" s="5" t="s">
        <v>36</v>
      </c>
      <c r="H37" t="s">
        <v>37</v>
      </c>
    </row>
    <row r="38" spans="1:8">
      <c r="A38" t="s">
        <v>35</v>
      </c>
      <c r="B38" t="s">
        <v>12</v>
      </c>
      <c r="C38">
        <v>1</v>
      </c>
      <c r="D38">
        <v>3</v>
      </c>
      <c r="E38">
        <v>1</v>
      </c>
      <c r="G38" s="5" t="s">
        <v>36</v>
      </c>
      <c r="H38" t="s">
        <v>37</v>
      </c>
    </row>
    <row r="39" spans="1:8">
      <c r="A39" t="s">
        <v>35</v>
      </c>
      <c r="B39" t="s">
        <v>12</v>
      </c>
      <c r="C39">
        <v>1</v>
      </c>
      <c r="D39">
        <v>2.2999999999999998</v>
      </c>
      <c r="E39">
        <v>1</v>
      </c>
      <c r="G39" s="5" t="s">
        <v>36</v>
      </c>
      <c r="H39" t="s">
        <v>37</v>
      </c>
    </row>
    <row r="40" spans="1:8">
      <c r="A40" t="s">
        <v>35</v>
      </c>
      <c r="B40" t="s">
        <v>12</v>
      </c>
      <c r="C40">
        <v>1</v>
      </c>
      <c r="D40">
        <v>4.4000000000000004</v>
      </c>
      <c r="E40">
        <v>1</v>
      </c>
      <c r="G40" s="5" t="s">
        <v>36</v>
      </c>
      <c r="H40" t="s">
        <v>37</v>
      </c>
    </row>
    <row r="41" spans="1:8">
      <c r="A41" t="s">
        <v>35</v>
      </c>
      <c r="B41" t="s">
        <v>12</v>
      </c>
      <c r="C41">
        <v>1</v>
      </c>
      <c r="D41">
        <v>1.6</v>
      </c>
      <c r="E41">
        <v>1</v>
      </c>
      <c r="G41" s="5" t="s">
        <v>36</v>
      </c>
      <c r="H41" t="s">
        <v>37</v>
      </c>
    </row>
    <row r="42" spans="1:8">
      <c r="A42" t="s">
        <v>35</v>
      </c>
      <c r="B42" t="s">
        <v>12</v>
      </c>
      <c r="C42">
        <v>0</v>
      </c>
      <c r="G42" s="5" t="s">
        <v>36</v>
      </c>
      <c r="H42" t="s">
        <v>37</v>
      </c>
    </row>
    <row r="43" spans="1:8">
      <c r="A43" t="s">
        <v>35</v>
      </c>
      <c r="B43" t="s">
        <v>12</v>
      </c>
      <c r="C43">
        <v>1</v>
      </c>
      <c r="D43">
        <v>4.2</v>
      </c>
      <c r="E43">
        <v>1</v>
      </c>
      <c r="G43" s="5" t="s">
        <v>36</v>
      </c>
      <c r="H43" t="s">
        <v>37</v>
      </c>
    </row>
    <row r="44" spans="1:8">
      <c r="A44" t="s">
        <v>35</v>
      </c>
      <c r="B44" t="s">
        <v>12</v>
      </c>
      <c r="C44">
        <v>1</v>
      </c>
      <c r="D44">
        <v>1.9</v>
      </c>
      <c r="E44">
        <v>1</v>
      </c>
      <c r="G44" s="5" t="s">
        <v>36</v>
      </c>
      <c r="H44" t="s">
        <v>37</v>
      </c>
    </row>
    <row r="45" spans="1:8">
      <c r="A45" t="s">
        <v>35</v>
      </c>
      <c r="B45" t="s">
        <v>12</v>
      </c>
      <c r="C45">
        <v>1</v>
      </c>
      <c r="D45">
        <v>1.7</v>
      </c>
      <c r="E45">
        <v>1</v>
      </c>
      <c r="G45" s="5" t="s">
        <v>36</v>
      </c>
      <c r="H45" t="s">
        <v>37</v>
      </c>
    </row>
    <row r="46" spans="1:8">
      <c r="A46" t="s">
        <v>35</v>
      </c>
      <c r="B46" t="s">
        <v>12</v>
      </c>
      <c r="C46">
        <v>1</v>
      </c>
      <c r="D46">
        <v>5.6</v>
      </c>
      <c r="E46">
        <v>1</v>
      </c>
      <c r="G46" s="5" t="s">
        <v>36</v>
      </c>
      <c r="H46" t="s">
        <v>37</v>
      </c>
    </row>
    <row r="47" spans="1:8">
      <c r="A47" t="s">
        <v>35</v>
      </c>
      <c r="B47" t="s">
        <v>12</v>
      </c>
      <c r="C47">
        <v>1</v>
      </c>
      <c r="D47">
        <v>3.9</v>
      </c>
      <c r="E47">
        <v>1</v>
      </c>
      <c r="G47" s="5" t="s">
        <v>36</v>
      </c>
      <c r="H47" t="s">
        <v>37</v>
      </c>
    </row>
    <row r="48" spans="1:8">
      <c r="A48" t="s">
        <v>35</v>
      </c>
      <c r="B48" t="s">
        <v>12</v>
      </c>
      <c r="C48">
        <v>1</v>
      </c>
      <c r="D48">
        <v>1.9</v>
      </c>
      <c r="E48">
        <v>1</v>
      </c>
      <c r="G48" s="5" t="s">
        <v>36</v>
      </c>
      <c r="H48" t="s">
        <v>37</v>
      </c>
    </row>
    <row r="49" spans="1:8">
      <c r="A49" t="s">
        <v>35</v>
      </c>
      <c r="B49" t="s">
        <v>12</v>
      </c>
      <c r="C49">
        <v>1</v>
      </c>
      <c r="D49">
        <v>5</v>
      </c>
      <c r="E49">
        <v>1</v>
      </c>
      <c r="G49" s="5" t="s">
        <v>36</v>
      </c>
      <c r="H49" t="s">
        <v>37</v>
      </c>
    </row>
    <row r="50" spans="1:8">
      <c r="A50" t="s">
        <v>35</v>
      </c>
      <c r="B50" t="s">
        <v>8</v>
      </c>
      <c r="C50">
        <v>1</v>
      </c>
      <c r="D50">
        <v>1.9</v>
      </c>
      <c r="E50">
        <v>1</v>
      </c>
      <c r="G50" s="5" t="s">
        <v>36</v>
      </c>
      <c r="H50" t="s">
        <v>37</v>
      </c>
    </row>
    <row r="51" spans="1:8">
      <c r="A51" t="s">
        <v>35</v>
      </c>
      <c r="B51" t="s">
        <v>25</v>
      </c>
      <c r="C51">
        <v>1</v>
      </c>
      <c r="D51">
        <v>19.600000000000001</v>
      </c>
      <c r="E51">
        <v>1</v>
      </c>
      <c r="G51" s="5" t="s">
        <v>36</v>
      </c>
      <c r="H51" t="s">
        <v>37</v>
      </c>
    </row>
    <row r="52" spans="1:8">
      <c r="A52" t="s">
        <v>35</v>
      </c>
      <c r="B52" t="s">
        <v>25</v>
      </c>
      <c r="C52">
        <v>1</v>
      </c>
      <c r="D52">
        <v>2.2999999999999998</v>
      </c>
      <c r="E52">
        <v>1</v>
      </c>
      <c r="G52" s="5" t="s">
        <v>36</v>
      </c>
      <c r="H52" t="s">
        <v>37</v>
      </c>
    </row>
    <row r="53" spans="1:8">
      <c r="A53" t="s">
        <v>35</v>
      </c>
      <c r="B53" t="s">
        <v>23</v>
      </c>
      <c r="C53">
        <v>1</v>
      </c>
      <c r="D53">
        <v>2.1</v>
      </c>
      <c r="E53">
        <v>1</v>
      </c>
      <c r="G53" s="5" t="s">
        <v>36</v>
      </c>
      <c r="H53" t="s">
        <v>37</v>
      </c>
    </row>
    <row r="54" spans="1:8">
      <c r="A54" t="s">
        <v>35</v>
      </c>
      <c r="B54" t="s">
        <v>23</v>
      </c>
      <c r="C54">
        <v>1</v>
      </c>
      <c r="D54">
        <v>1.3</v>
      </c>
      <c r="E54">
        <v>1</v>
      </c>
      <c r="G54" s="5" t="s">
        <v>36</v>
      </c>
      <c r="H54" t="s">
        <v>37</v>
      </c>
    </row>
    <row r="55" spans="1:8">
      <c r="A55" t="s">
        <v>35</v>
      </c>
      <c r="B55" t="s">
        <v>17</v>
      </c>
      <c r="C55">
        <v>1</v>
      </c>
      <c r="D55">
        <v>4.5999999999999996</v>
      </c>
      <c r="E55">
        <v>1</v>
      </c>
      <c r="G55" s="5" t="s">
        <v>36</v>
      </c>
      <c r="H55" t="s">
        <v>37</v>
      </c>
    </row>
    <row r="56" spans="1:8">
      <c r="A56" t="s">
        <v>35</v>
      </c>
      <c r="B56" t="s">
        <v>17</v>
      </c>
      <c r="C56">
        <v>1</v>
      </c>
      <c r="D56">
        <v>4.0999999999999996</v>
      </c>
      <c r="E56">
        <v>1</v>
      </c>
      <c r="G56" s="5" t="s">
        <v>36</v>
      </c>
      <c r="H56" t="s">
        <v>37</v>
      </c>
    </row>
    <row r="57" spans="1:8">
      <c r="A57" t="s">
        <v>35</v>
      </c>
      <c r="B57" t="s">
        <v>17</v>
      </c>
      <c r="C57">
        <v>1</v>
      </c>
      <c r="D57">
        <v>6.3</v>
      </c>
      <c r="E57">
        <v>1</v>
      </c>
      <c r="G57" s="5" t="s">
        <v>36</v>
      </c>
      <c r="H57" t="s">
        <v>37</v>
      </c>
    </row>
    <row r="58" spans="1:8">
      <c r="A58" t="s">
        <v>35</v>
      </c>
      <c r="B58" t="s">
        <v>17</v>
      </c>
      <c r="C58">
        <v>1</v>
      </c>
      <c r="D58">
        <v>3.9</v>
      </c>
      <c r="E58">
        <v>1</v>
      </c>
      <c r="G58" s="5" t="s">
        <v>36</v>
      </c>
      <c r="H58" t="s">
        <v>37</v>
      </c>
    </row>
    <row r="59" spans="1:8">
      <c r="A59" t="s">
        <v>35</v>
      </c>
      <c r="B59" t="s">
        <v>19</v>
      </c>
      <c r="C59">
        <v>1</v>
      </c>
      <c r="D59">
        <v>6.4</v>
      </c>
      <c r="E59">
        <v>1</v>
      </c>
      <c r="G59" s="5" t="s">
        <v>36</v>
      </c>
      <c r="H59" t="s">
        <v>37</v>
      </c>
    </row>
    <row r="60" spans="1:8">
      <c r="A60" t="s">
        <v>35</v>
      </c>
      <c r="B60" t="s">
        <v>19</v>
      </c>
      <c r="C60">
        <v>1</v>
      </c>
      <c r="D60">
        <v>4.4000000000000004</v>
      </c>
      <c r="E60">
        <v>1</v>
      </c>
      <c r="G60" s="5" t="s">
        <v>36</v>
      </c>
      <c r="H60" t="s">
        <v>37</v>
      </c>
    </row>
    <row r="61" spans="1:8">
      <c r="A61" t="s">
        <v>35</v>
      </c>
      <c r="B61" t="s">
        <v>19</v>
      </c>
      <c r="C61">
        <v>1</v>
      </c>
      <c r="D61">
        <v>5.4</v>
      </c>
      <c r="E61">
        <v>1</v>
      </c>
      <c r="G61" s="5" t="s">
        <v>36</v>
      </c>
      <c r="H61" t="s">
        <v>37</v>
      </c>
    </row>
    <row r="62" spans="1:8">
      <c r="A62" t="s">
        <v>35</v>
      </c>
      <c r="B62" t="s">
        <v>19</v>
      </c>
      <c r="C62">
        <v>1</v>
      </c>
      <c r="D62">
        <v>2.2999999999999998</v>
      </c>
      <c r="E62">
        <v>1</v>
      </c>
      <c r="G62" s="5" t="s">
        <v>36</v>
      </c>
      <c r="H62" t="s">
        <v>37</v>
      </c>
    </row>
    <row r="63" spans="1:8">
      <c r="A63" t="s">
        <v>35</v>
      </c>
      <c r="B63" t="s">
        <v>19</v>
      </c>
      <c r="C63">
        <v>1</v>
      </c>
      <c r="D63">
        <v>7.6</v>
      </c>
      <c r="E63">
        <v>1</v>
      </c>
      <c r="G63" s="5" t="s">
        <v>36</v>
      </c>
      <c r="H63" t="s">
        <v>37</v>
      </c>
    </row>
    <row r="64" spans="1:8">
      <c r="A64" t="s">
        <v>35</v>
      </c>
      <c r="B64" t="s">
        <v>19</v>
      </c>
      <c r="C64">
        <v>1</v>
      </c>
      <c r="D64">
        <v>6.4</v>
      </c>
      <c r="E64">
        <v>1</v>
      </c>
      <c r="G64" s="5" t="s">
        <v>36</v>
      </c>
      <c r="H64" t="s">
        <v>37</v>
      </c>
    </row>
    <row r="65" spans="1:8">
      <c r="A65" t="s">
        <v>35</v>
      </c>
      <c r="B65" t="s">
        <v>19</v>
      </c>
      <c r="C65">
        <v>1</v>
      </c>
      <c r="D65">
        <v>5.2</v>
      </c>
      <c r="E65">
        <v>1</v>
      </c>
      <c r="G65" s="5" t="s">
        <v>36</v>
      </c>
      <c r="H65" t="s">
        <v>37</v>
      </c>
    </row>
    <row r="66" spans="1:8">
      <c r="A66" t="s">
        <v>35</v>
      </c>
      <c r="B66" t="s">
        <v>29</v>
      </c>
      <c r="C66">
        <v>1</v>
      </c>
      <c r="D66">
        <v>1.5</v>
      </c>
      <c r="E66">
        <v>1</v>
      </c>
      <c r="G66" s="5" t="s">
        <v>36</v>
      </c>
      <c r="H66" t="s">
        <v>37</v>
      </c>
    </row>
    <row r="67" spans="1:8">
      <c r="A67" t="s">
        <v>35</v>
      </c>
      <c r="B67" t="s">
        <v>3</v>
      </c>
      <c r="C67">
        <v>1</v>
      </c>
      <c r="D67">
        <v>4.8</v>
      </c>
      <c r="E67">
        <v>1</v>
      </c>
      <c r="G67" s="5" t="s">
        <v>36</v>
      </c>
      <c r="H67" t="s">
        <v>37</v>
      </c>
    </row>
    <row r="68" spans="1:8">
      <c r="A68" t="s">
        <v>35</v>
      </c>
      <c r="B68" t="s">
        <v>3</v>
      </c>
      <c r="C68">
        <v>1</v>
      </c>
      <c r="D68">
        <v>3</v>
      </c>
      <c r="E68">
        <v>1</v>
      </c>
      <c r="G68" s="5" t="s">
        <v>36</v>
      </c>
      <c r="H68" t="s">
        <v>37</v>
      </c>
    </row>
    <row r="69" spans="1:8">
      <c r="A69" t="s">
        <v>35</v>
      </c>
      <c r="B69" t="s">
        <v>3</v>
      </c>
      <c r="C69">
        <v>1</v>
      </c>
      <c r="D69">
        <v>2.9</v>
      </c>
      <c r="E69">
        <v>1</v>
      </c>
      <c r="G69" s="5" t="s">
        <v>36</v>
      </c>
      <c r="H69" t="s">
        <v>37</v>
      </c>
    </row>
    <row r="70" spans="1:8">
      <c r="A70" t="s">
        <v>35</v>
      </c>
      <c r="B70" t="s">
        <v>3</v>
      </c>
      <c r="C70">
        <v>1</v>
      </c>
      <c r="D70">
        <v>1.6</v>
      </c>
      <c r="E70">
        <v>1</v>
      </c>
      <c r="G70" s="5" t="s">
        <v>36</v>
      </c>
      <c r="H70" t="s">
        <v>37</v>
      </c>
    </row>
    <row r="71" spans="1:8">
      <c r="A71" t="s">
        <v>35</v>
      </c>
      <c r="B71" t="s">
        <v>3</v>
      </c>
      <c r="C71">
        <v>1</v>
      </c>
      <c r="D71">
        <v>3.7</v>
      </c>
      <c r="E71">
        <v>1</v>
      </c>
      <c r="G71" s="5" t="s">
        <v>36</v>
      </c>
      <c r="H71" t="s">
        <v>37</v>
      </c>
    </row>
    <row r="72" spans="1:8">
      <c r="A72" t="s">
        <v>35</v>
      </c>
      <c r="B72" t="s">
        <v>3</v>
      </c>
      <c r="C72">
        <v>1</v>
      </c>
      <c r="D72">
        <v>3.6</v>
      </c>
      <c r="E72">
        <v>1</v>
      </c>
      <c r="G72" s="5" t="s">
        <v>36</v>
      </c>
      <c r="H72" t="s">
        <v>37</v>
      </c>
    </row>
    <row r="73" spans="1:8">
      <c r="A73" t="s">
        <v>35</v>
      </c>
      <c r="B73" t="s">
        <v>3</v>
      </c>
      <c r="C73">
        <v>1</v>
      </c>
      <c r="D73">
        <v>2.1</v>
      </c>
      <c r="E73">
        <v>1</v>
      </c>
      <c r="G73" s="5" t="s">
        <v>36</v>
      </c>
      <c r="H73" t="s">
        <v>37</v>
      </c>
    </row>
    <row r="74" spans="1:8">
      <c r="A74" t="s">
        <v>35</v>
      </c>
      <c r="B74" t="s">
        <v>3</v>
      </c>
      <c r="C74">
        <v>1</v>
      </c>
      <c r="D74">
        <v>2.1</v>
      </c>
      <c r="E74">
        <v>1</v>
      </c>
      <c r="G74" s="5" t="s">
        <v>36</v>
      </c>
      <c r="H74" t="s">
        <v>37</v>
      </c>
    </row>
    <row r="75" spans="1:8">
      <c r="A75" t="s">
        <v>35</v>
      </c>
      <c r="B75" t="s">
        <v>3</v>
      </c>
      <c r="C75">
        <v>1</v>
      </c>
      <c r="D75">
        <v>2</v>
      </c>
      <c r="E75">
        <v>1</v>
      </c>
      <c r="G75" s="5" t="s">
        <v>36</v>
      </c>
      <c r="H75" t="s">
        <v>37</v>
      </c>
    </row>
    <row r="76" spans="1:8">
      <c r="A76" t="s">
        <v>35</v>
      </c>
      <c r="B76" t="s">
        <v>3</v>
      </c>
      <c r="C76">
        <v>1</v>
      </c>
      <c r="D76">
        <v>1.9</v>
      </c>
      <c r="E76">
        <v>1</v>
      </c>
      <c r="G76" s="5" t="s">
        <v>36</v>
      </c>
      <c r="H76" t="s">
        <v>37</v>
      </c>
    </row>
    <row r="77" spans="1:8">
      <c r="A77" t="s">
        <v>35</v>
      </c>
      <c r="B77" t="s">
        <v>3</v>
      </c>
      <c r="C77">
        <v>1</v>
      </c>
      <c r="D77">
        <v>2.1</v>
      </c>
      <c r="E77">
        <v>1</v>
      </c>
      <c r="G77" s="5" t="s">
        <v>36</v>
      </c>
      <c r="H77" t="s">
        <v>37</v>
      </c>
    </row>
    <row r="78" spans="1:8">
      <c r="A78" t="s">
        <v>35</v>
      </c>
      <c r="B78" t="s">
        <v>3</v>
      </c>
      <c r="C78">
        <v>1</v>
      </c>
      <c r="D78">
        <v>0.4</v>
      </c>
      <c r="E78">
        <v>1</v>
      </c>
      <c r="G78" s="5" t="s">
        <v>36</v>
      </c>
      <c r="H78" t="s">
        <v>37</v>
      </c>
    </row>
    <row r="79" spans="1:8">
      <c r="A79" t="s">
        <v>35</v>
      </c>
      <c r="B79" t="s">
        <v>3</v>
      </c>
      <c r="C79">
        <v>1</v>
      </c>
      <c r="D79">
        <v>0.6</v>
      </c>
      <c r="E79">
        <v>1</v>
      </c>
      <c r="G79" s="5" t="s">
        <v>36</v>
      </c>
      <c r="H79" t="s">
        <v>37</v>
      </c>
    </row>
    <row r="80" spans="1:8">
      <c r="A80" t="s">
        <v>35</v>
      </c>
      <c r="B80" t="s">
        <v>3</v>
      </c>
      <c r="C80">
        <v>1</v>
      </c>
      <c r="D80">
        <v>5</v>
      </c>
      <c r="E80">
        <v>1</v>
      </c>
      <c r="G80" s="5" t="s">
        <v>36</v>
      </c>
      <c r="H80" t="s">
        <v>37</v>
      </c>
    </row>
    <row r="81" spans="1:8">
      <c r="A81" t="s">
        <v>35</v>
      </c>
      <c r="B81" t="s">
        <v>3</v>
      </c>
      <c r="C81">
        <v>1</v>
      </c>
      <c r="D81">
        <v>3.4</v>
      </c>
      <c r="E81">
        <v>1</v>
      </c>
      <c r="G81" s="5" t="s">
        <v>36</v>
      </c>
      <c r="H81" t="s">
        <v>37</v>
      </c>
    </row>
    <row r="82" spans="1:8">
      <c r="A82" t="s">
        <v>35</v>
      </c>
      <c r="B82" t="s">
        <v>3</v>
      </c>
      <c r="C82">
        <v>1</v>
      </c>
      <c r="D82">
        <v>2.1</v>
      </c>
      <c r="E82">
        <v>1</v>
      </c>
      <c r="G82" s="5" t="s">
        <v>36</v>
      </c>
      <c r="H82" t="s">
        <v>37</v>
      </c>
    </row>
    <row r="83" spans="1:8">
      <c r="A83" t="s">
        <v>35</v>
      </c>
      <c r="B83" t="s">
        <v>3</v>
      </c>
      <c r="C83">
        <v>1</v>
      </c>
      <c r="D83">
        <v>2.1</v>
      </c>
      <c r="E83">
        <v>1</v>
      </c>
      <c r="G83" s="5" t="s">
        <v>36</v>
      </c>
      <c r="H83" t="s">
        <v>37</v>
      </c>
    </row>
    <row r="84" spans="1:8">
      <c r="A84" t="s">
        <v>35</v>
      </c>
      <c r="B84" t="s">
        <v>3</v>
      </c>
      <c r="C84">
        <v>1</v>
      </c>
      <c r="D84">
        <v>0.6</v>
      </c>
      <c r="E84">
        <v>1</v>
      </c>
      <c r="G84" s="5" t="s">
        <v>36</v>
      </c>
      <c r="H84" t="s">
        <v>37</v>
      </c>
    </row>
    <row r="85" spans="1:8">
      <c r="A85" t="s">
        <v>35</v>
      </c>
      <c r="B85" t="s">
        <v>3</v>
      </c>
      <c r="C85">
        <v>1</v>
      </c>
      <c r="D85">
        <v>0.5</v>
      </c>
      <c r="E85">
        <v>1</v>
      </c>
      <c r="G85" s="5" t="s">
        <v>36</v>
      </c>
      <c r="H85" t="s">
        <v>37</v>
      </c>
    </row>
    <row r="86" spans="1:8">
      <c r="A86" t="s">
        <v>35</v>
      </c>
      <c r="B86" t="s">
        <v>3</v>
      </c>
      <c r="C86">
        <v>1</v>
      </c>
      <c r="D86">
        <v>0.9</v>
      </c>
      <c r="E86">
        <v>1</v>
      </c>
      <c r="G86" s="5" t="s">
        <v>36</v>
      </c>
      <c r="H86" t="s">
        <v>37</v>
      </c>
    </row>
    <row r="87" spans="1:8">
      <c r="A87" t="s">
        <v>35</v>
      </c>
      <c r="B87" t="s">
        <v>3</v>
      </c>
      <c r="C87">
        <v>1</v>
      </c>
      <c r="D87">
        <v>2.7</v>
      </c>
      <c r="E87">
        <v>1</v>
      </c>
      <c r="G87" s="5" t="s">
        <v>36</v>
      </c>
      <c r="H87" t="s">
        <v>37</v>
      </c>
    </row>
    <row r="88" spans="1:8">
      <c r="A88" t="s">
        <v>35</v>
      </c>
      <c r="B88" t="s">
        <v>3</v>
      </c>
      <c r="C88">
        <v>1</v>
      </c>
      <c r="D88">
        <v>3.7</v>
      </c>
      <c r="E88">
        <v>1</v>
      </c>
      <c r="G88" s="5" t="s">
        <v>36</v>
      </c>
      <c r="H88" t="s">
        <v>37</v>
      </c>
    </row>
    <row r="89" spans="1:8">
      <c r="A89" t="s">
        <v>35</v>
      </c>
      <c r="B89" t="s">
        <v>3</v>
      </c>
      <c r="C89">
        <v>0</v>
      </c>
      <c r="G89" s="5" t="s">
        <v>36</v>
      </c>
      <c r="H89" t="s">
        <v>37</v>
      </c>
    </row>
    <row r="90" spans="1:8">
      <c r="A90" t="s">
        <v>35</v>
      </c>
      <c r="B90" t="s">
        <v>3</v>
      </c>
      <c r="C90">
        <v>1</v>
      </c>
      <c r="D90">
        <v>1.4</v>
      </c>
      <c r="E90">
        <v>1</v>
      </c>
      <c r="G90" s="5" t="s">
        <v>36</v>
      </c>
      <c r="H90" t="s">
        <v>37</v>
      </c>
    </row>
    <row r="91" spans="1:8">
      <c r="A91" t="s">
        <v>35</v>
      </c>
      <c r="B91" t="s">
        <v>3</v>
      </c>
      <c r="C91">
        <v>0</v>
      </c>
      <c r="G91" s="5" t="s">
        <v>36</v>
      </c>
      <c r="H91" t="s">
        <v>37</v>
      </c>
    </row>
    <row r="92" spans="1:8">
      <c r="A92" t="s">
        <v>35</v>
      </c>
      <c r="B92" t="s">
        <v>3</v>
      </c>
      <c r="C92">
        <v>1</v>
      </c>
      <c r="D92">
        <v>2.2999999999999998</v>
      </c>
      <c r="E92">
        <v>1</v>
      </c>
      <c r="G92" s="5" t="s">
        <v>36</v>
      </c>
      <c r="H92" t="s">
        <v>37</v>
      </c>
    </row>
    <row r="93" spans="1:8">
      <c r="A93" t="s">
        <v>35</v>
      </c>
      <c r="B93" t="s">
        <v>3</v>
      </c>
      <c r="C93">
        <v>1</v>
      </c>
      <c r="D93">
        <v>2.1</v>
      </c>
      <c r="E93">
        <v>1</v>
      </c>
      <c r="G93" s="5" t="s">
        <v>36</v>
      </c>
      <c r="H93" t="s">
        <v>37</v>
      </c>
    </row>
    <row r="94" spans="1:8">
      <c r="A94" t="s">
        <v>35</v>
      </c>
      <c r="B94" t="s">
        <v>3</v>
      </c>
      <c r="C94">
        <v>1</v>
      </c>
      <c r="D94">
        <v>3.1</v>
      </c>
      <c r="E94">
        <v>1</v>
      </c>
      <c r="G94" s="5" t="s">
        <v>36</v>
      </c>
      <c r="H94" t="s">
        <v>37</v>
      </c>
    </row>
    <row r="95" spans="1:8">
      <c r="A95" t="s">
        <v>35</v>
      </c>
      <c r="B95" t="s">
        <v>3</v>
      </c>
      <c r="C95">
        <v>0</v>
      </c>
      <c r="G95" s="5" t="s">
        <v>36</v>
      </c>
      <c r="H95" t="s">
        <v>37</v>
      </c>
    </row>
    <row r="96" spans="1:8">
      <c r="A96" t="s">
        <v>35</v>
      </c>
      <c r="B96" t="s">
        <v>3</v>
      </c>
      <c r="C96">
        <v>1</v>
      </c>
      <c r="D96">
        <v>3.2</v>
      </c>
      <c r="E96">
        <v>1</v>
      </c>
      <c r="G96" s="5" t="s">
        <v>36</v>
      </c>
      <c r="H96" t="s">
        <v>37</v>
      </c>
    </row>
    <row r="97" spans="1:8">
      <c r="A97" t="s">
        <v>35</v>
      </c>
      <c r="B97" t="s">
        <v>3</v>
      </c>
      <c r="C97">
        <v>0</v>
      </c>
      <c r="G97" s="5" t="s">
        <v>36</v>
      </c>
      <c r="H97" t="s">
        <v>37</v>
      </c>
    </row>
    <row r="98" spans="1:8">
      <c r="A98" t="s">
        <v>35</v>
      </c>
      <c r="B98" t="s">
        <v>3</v>
      </c>
      <c r="C98">
        <v>1</v>
      </c>
      <c r="D98">
        <v>0.7</v>
      </c>
      <c r="E98">
        <v>1</v>
      </c>
      <c r="G98" s="5" t="s">
        <v>36</v>
      </c>
      <c r="H98" t="s">
        <v>37</v>
      </c>
    </row>
    <row r="99" spans="1:8">
      <c r="A99" t="s">
        <v>35</v>
      </c>
      <c r="B99" t="s">
        <v>3</v>
      </c>
      <c r="C99">
        <v>1</v>
      </c>
      <c r="D99">
        <v>2.2999999999999998</v>
      </c>
      <c r="E99">
        <v>1</v>
      </c>
      <c r="G99" s="5" t="s">
        <v>36</v>
      </c>
      <c r="H99" t="s">
        <v>37</v>
      </c>
    </row>
    <row r="100" spans="1:8">
      <c r="A100" t="s">
        <v>35</v>
      </c>
      <c r="B100" t="s">
        <v>3</v>
      </c>
      <c r="C100">
        <v>1</v>
      </c>
      <c r="D100">
        <v>1.9</v>
      </c>
      <c r="E100">
        <v>1</v>
      </c>
      <c r="G100" s="5" t="s">
        <v>36</v>
      </c>
      <c r="H100" t="s">
        <v>37</v>
      </c>
    </row>
    <row r="101" spans="1:8">
      <c r="A101" t="s">
        <v>35</v>
      </c>
      <c r="B101" t="s">
        <v>3</v>
      </c>
      <c r="C101">
        <v>1</v>
      </c>
      <c r="D101">
        <v>0.5</v>
      </c>
      <c r="E101">
        <v>1</v>
      </c>
      <c r="G101" s="5" t="s">
        <v>36</v>
      </c>
      <c r="H101" t="s">
        <v>37</v>
      </c>
    </row>
    <row r="102" spans="1:8">
      <c r="A102" t="s">
        <v>35</v>
      </c>
      <c r="B102" t="s">
        <v>3</v>
      </c>
      <c r="C102">
        <v>1</v>
      </c>
      <c r="D102">
        <v>1.8</v>
      </c>
      <c r="E102">
        <v>1</v>
      </c>
      <c r="G102" s="5" t="s">
        <v>36</v>
      </c>
      <c r="H102" t="s">
        <v>37</v>
      </c>
    </row>
    <row r="103" spans="1:8">
      <c r="A103" t="s">
        <v>35</v>
      </c>
      <c r="B103" t="s">
        <v>3</v>
      </c>
      <c r="C103">
        <v>1</v>
      </c>
      <c r="D103">
        <v>3.5</v>
      </c>
      <c r="E103">
        <v>1</v>
      </c>
      <c r="G103" s="5" t="s">
        <v>36</v>
      </c>
      <c r="H103" t="s">
        <v>37</v>
      </c>
    </row>
    <row r="104" spans="1:8">
      <c r="A104" t="s">
        <v>35</v>
      </c>
      <c r="B104" t="s">
        <v>3</v>
      </c>
      <c r="C104">
        <v>1</v>
      </c>
      <c r="D104">
        <v>1.1000000000000001</v>
      </c>
      <c r="E104">
        <v>1</v>
      </c>
      <c r="G104" s="5" t="s">
        <v>36</v>
      </c>
      <c r="H104" t="s">
        <v>37</v>
      </c>
    </row>
    <row r="105" spans="1:8">
      <c r="A105" t="s">
        <v>35</v>
      </c>
      <c r="B105" t="s">
        <v>3</v>
      </c>
      <c r="C105">
        <v>0</v>
      </c>
      <c r="G105" s="5" t="s">
        <v>36</v>
      </c>
      <c r="H105" t="s">
        <v>37</v>
      </c>
    </row>
    <row r="106" spans="1:8">
      <c r="A106" t="s">
        <v>35</v>
      </c>
      <c r="B106" t="s">
        <v>3</v>
      </c>
      <c r="C106">
        <v>1</v>
      </c>
      <c r="D106">
        <v>1.1000000000000001</v>
      </c>
      <c r="E106">
        <v>1</v>
      </c>
      <c r="G106" s="5" t="s">
        <v>36</v>
      </c>
      <c r="H106" t="s">
        <v>37</v>
      </c>
    </row>
    <row r="107" spans="1:8">
      <c r="A107" t="s">
        <v>35</v>
      </c>
      <c r="B107" t="s">
        <v>3</v>
      </c>
      <c r="C107">
        <v>1</v>
      </c>
      <c r="D107">
        <v>1</v>
      </c>
      <c r="E107">
        <v>1</v>
      </c>
      <c r="G107" s="5" t="s">
        <v>36</v>
      </c>
      <c r="H107" t="s">
        <v>37</v>
      </c>
    </row>
    <row r="108" spans="1:8">
      <c r="A108" t="s">
        <v>35</v>
      </c>
      <c r="B108" t="s">
        <v>3</v>
      </c>
      <c r="C108">
        <v>0</v>
      </c>
      <c r="G108" s="5" t="s">
        <v>36</v>
      </c>
      <c r="H108" t="s">
        <v>37</v>
      </c>
    </row>
    <row r="109" spans="1:8">
      <c r="A109" t="s">
        <v>35</v>
      </c>
      <c r="B109" t="s">
        <v>3</v>
      </c>
      <c r="C109">
        <v>1</v>
      </c>
      <c r="D109">
        <v>3.9</v>
      </c>
      <c r="E109">
        <v>1</v>
      </c>
      <c r="G109" s="5" t="s">
        <v>36</v>
      </c>
      <c r="H109" t="s">
        <v>37</v>
      </c>
    </row>
    <row r="110" spans="1:8">
      <c r="A110" t="s">
        <v>35</v>
      </c>
      <c r="B110" t="s">
        <v>3</v>
      </c>
      <c r="C110">
        <v>1</v>
      </c>
      <c r="D110">
        <v>2</v>
      </c>
      <c r="E110">
        <v>1</v>
      </c>
      <c r="G110" s="5" t="s">
        <v>36</v>
      </c>
      <c r="H110" t="s">
        <v>37</v>
      </c>
    </row>
    <row r="111" spans="1:8">
      <c r="A111" t="s">
        <v>35</v>
      </c>
      <c r="B111" t="s">
        <v>3</v>
      </c>
      <c r="C111">
        <v>1</v>
      </c>
      <c r="D111">
        <v>1</v>
      </c>
      <c r="E111">
        <v>1</v>
      </c>
      <c r="G111" s="5" t="s">
        <v>36</v>
      </c>
      <c r="H111" t="s">
        <v>37</v>
      </c>
    </row>
    <row r="112" spans="1:8">
      <c r="A112" t="s">
        <v>35</v>
      </c>
      <c r="B112" t="s">
        <v>3</v>
      </c>
      <c r="C112">
        <v>0</v>
      </c>
      <c r="G112" s="5" t="s">
        <v>36</v>
      </c>
      <c r="H112" t="s">
        <v>37</v>
      </c>
    </row>
    <row r="113" spans="1:8">
      <c r="A113" t="s">
        <v>35</v>
      </c>
      <c r="B113" t="s">
        <v>3</v>
      </c>
      <c r="C113">
        <v>1</v>
      </c>
      <c r="D113">
        <v>3.2</v>
      </c>
      <c r="E113">
        <v>1</v>
      </c>
      <c r="G113" s="5" t="s">
        <v>36</v>
      </c>
      <c r="H113" t="s">
        <v>37</v>
      </c>
    </row>
    <row r="114" spans="1:8">
      <c r="A114" t="s">
        <v>35</v>
      </c>
      <c r="B114" t="s">
        <v>3</v>
      </c>
      <c r="C114">
        <v>1</v>
      </c>
      <c r="D114">
        <v>2.1</v>
      </c>
      <c r="E114">
        <v>1</v>
      </c>
      <c r="G114" s="5" t="s">
        <v>36</v>
      </c>
      <c r="H114" t="s">
        <v>37</v>
      </c>
    </row>
    <row r="115" spans="1:8">
      <c r="A115" t="s">
        <v>35</v>
      </c>
      <c r="B115" t="s">
        <v>3</v>
      </c>
      <c r="C115">
        <v>1</v>
      </c>
      <c r="D115">
        <v>2</v>
      </c>
      <c r="E115">
        <v>1</v>
      </c>
      <c r="G115" s="5" t="s">
        <v>36</v>
      </c>
      <c r="H115" t="s">
        <v>37</v>
      </c>
    </row>
    <row r="116" spans="1:8">
      <c r="A116" t="s">
        <v>35</v>
      </c>
      <c r="B116" t="s">
        <v>3</v>
      </c>
      <c r="C116">
        <v>1</v>
      </c>
      <c r="D116">
        <v>3.8</v>
      </c>
      <c r="E116">
        <v>1</v>
      </c>
      <c r="G116" s="5" t="s">
        <v>36</v>
      </c>
      <c r="H116" t="s">
        <v>37</v>
      </c>
    </row>
    <row r="117" spans="1:8">
      <c r="A117" t="s">
        <v>35</v>
      </c>
      <c r="B117" t="s">
        <v>3</v>
      </c>
      <c r="C117">
        <v>1</v>
      </c>
      <c r="D117">
        <v>0.7</v>
      </c>
      <c r="E117">
        <v>1</v>
      </c>
      <c r="G117" s="5" t="s">
        <v>36</v>
      </c>
      <c r="H117" t="s">
        <v>37</v>
      </c>
    </row>
    <row r="118" spans="1:8">
      <c r="A118" t="s">
        <v>35</v>
      </c>
      <c r="B118" t="s">
        <v>3</v>
      </c>
      <c r="C118">
        <v>1</v>
      </c>
      <c r="D118">
        <v>2.2999999999999998</v>
      </c>
      <c r="E118">
        <v>1</v>
      </c>
      <c r="G118" s="5" t="s">
        <v>36</v>
      </c>
      <c r="H118" t="s">
        <v>37</v>
      </c>
    </row>
    <row r="119" spans="1:8">
      <c r="A119" t="s">
        <v>35</v>
      </c>
      <c r="B119" t="s">
        <v>3</v>
      </c>
      <c r="C119">
        <v>1</v>
      </c>
      <c r="D119">
        <v>1.7</v>
      </c>
      <c r="E119">
        <v>1</v>
      </c>
      <c r="G119" s="5" t="s">
        <v>36</v>
      </c>
      <c r="H119" t="s">
        <v>37</v>
      </c>
    </row>
    <row r="120" spans="1:8">
      <c r="A120" t="s">
        <v>35</v>
      </c>
      <c r="B120" t="s">
        <v>3</v>
      </c>
      <c r="C120">
        <v>1</v>
      </c>
      <c r="D120">
        <v>2</v>
      </c>
      <c r="E120">
        <v>1</v>
      </c>
      <c r="G120" s="5" t="s">
        <v>36</v>
      </c>
      <c r="H120" t="s">
        <v>37</v>
      </c>
    </row>
    <row r="121" spans="1:8">
      <c r="A121" t="s">
        <v>35</v>
      </c>
      <c r="B121" t="s">
        <v>3</v>
      </c>
      <c r="C121">
        <v>1</v>
      </c>
      <c r="D121">
        <v>0.8</v>
      </c>
      <c r="E121">
        <v>1</v>
      </c>
      <c r="G121" s="5" t="s">
        <v>36</v>
      </c>
      <c r="H121" t="s">
        <v>37</v>
      </c>
    </row>
    <row r="122" spans="1:8">
      <c r="A122" t="s">
        <v>35</v>
      </c>
      <c r="B122" t="s">
        <v>3</v>
      </c>
      <c r="C122">
        <v>1</v>
      </c>
      <c r="D122">
        <v>2.2000000000000002</v>
      </c>
      <c r="E122">
        <v>1</v>
      </c>
      <c r="G122" s="5" t="s">
        <v>36</v>
      </c>
      <c r="H122" t="s">
        <v>37</v>
      </c>
    </row>
    <row r="123" spans="1:8">
      <c r="A123" t="s">
        <v>35</v>
      </c>
      <c r="B123" t="s">
        <v>3</v>
      </c>
      <c r="C123">
        <v>1</v>
      </c>
      <c r="D123">
        <v>5</v>
      </c>
      <c r="E123">
        <v>1</v>
      </c>
      <c r="G123" s="5" t="s">
        <v>36</v>
      </c>
      <c r="H123" t="s">
        <v>37</v>
      </c>
    </row>
    <row r="124" spans="1:8">
      <c r="A124" t="s">
        <v>35</v>
      </c>
      <c r="B124" t="s">
        <v>3</v>
      </c>
      <c r="C124">
        <v>1</v>
      </c>
      <c r="D124">
        <v>2.9</v>
      </c>
      <c r="E124">
        <v>1</v>
      </c>
      <c r="G124" s="5" t="s">
        <v>36</v>
      </c>
      <c r="H124" t="s">
        <v>37</v>
      </c>
    </row>
    <row r="125" spans="1:8">
      <c r="A125" t="s">
        <v>35</v>
      </c>
      <c r="B125" t="s">
        <v>3</v>
      </c>
      <c r="C125">
        <v>1</v>
      </c>
      <c r="D125">
        <v>1.5</v>
      </c>
      <c r="E125">
        <v>1</v>
      </c>
      <c r="G125" s="5" t="s">
        <v>36</v>
      </c>
      <c r="H125" t="s">
        <v>37</v>
      </c>
    </row>
    <row r="126" spans="1:8">
      <c r="A126" t="s">
        <v>35</v>
      </c>
      <c r="B126" t="s">
        <v>3</v>
      </c>
      <c r="C126">
        <v>1</v>
      </c>
      <c r="D126">
        <v>2.2000000000000002</v>
      </c>
      <c r="E126">
        <v>1</v>
      </c>
      <c r="G126" s="5" t="s">
        <v>36</v>
      </c>
      <c r="H126" t="s">
        <v>37</v>
      </c>
    </row>
    <row r="127" spans="1:8">
      <c r="A127" t="s">
        <v>35</v>
      </c>
      <c r="B127" t="s">
        <v>3</v>
      </c>
      <c r="C127">
        <v>1</v>
      </c>
      <c r="D127">
        <v>1.9</v>
      </c>
      <c r="E127">
        <v>1</v>
      </c>
      <c r="G127" s="5" t="s">
        <v>36</v>
      </c>
      <c r="H127" t="s">
        <v>37</v>
      </c>
    </row>
    <row r="128" spans="1:8">
      <c r="A128" t="s">
        <v>35</v>
      </c>
      <c r="B128" t="s">
        <v>3</v>
      </c>
      <c r="C128">
        <v>1</v>
      </c>
      <c r="D128">
        <v>1.5</v>
      </c>
      <c r="E128">
        <v>1</v>
      </c>
      <c r="G128" s="5" t="s">
        <v>36</v>
      </c>
      <c r="H128" t="s">
        <v>37</v>
      </c>
    </row>
    <row r="129" spans="1:8">
      <c r="A129" t="s">
        <v>35</v>
      </c>
      <c r="B129" t="s">
        <v>3</v>
      </c>
      <c r="C129">
        <v>1</v>
      </c>
      <c r="D129">
        <v>2.7</v>
      </c>
      <c r="E129">
        <v>1</v>
      </c>
      <c r="G129" s="5" t="s">
        <v>36</v>
      </c>
      <c r="H129" t="s">
        <v>37</v>
      </c>
    </row>
    <row r="130" spans="1:8">
      <c r="A130" t="s">
        <v>35</v>
      </c>
      <c r="B130" t="s">
        <v>3</v>
      </c>
      <c r="C130">
        <v>1</v>
      </c>
      <c r="D130">
        <v>2.6</v>
      </c>
      <c r="E130">
        <v>1</v>
      </c>
      <c r="G130" s="5" t="s">
        <v>36</v>
      </c>
      <c r="H130" t="s">
        <v>37</v>
      </c>
    </row>
    <row r="131" spans="1:8">
      <c r="A131" t="s">
        <v>35</v>
      </c>
      <c r="B131" t="s">
        <v>3</v>
      </c>
      <c r="C131">
        <v>1</v>
      </c>
      <c r="D131">
        <v>1.4</v>
      </c>
      <c r="E131">
        <v>1</v>
      </c>
      <c r="G131" s="5" t="s">
        <v>36</v>
      </c>
      <c r="H131" t="s">
        <v>37</v>
      </c>
    </row>
    <row r="132" spans="1:8">
      <c r="A132" t="s">
        <v>35</v>
      </c>
      <c r="B132" t="s">
        <v>3</v>
      </c>
      <c r="C132">
        <v>1</v>
      </c>
      <c r="D132">
        <v>1.4</v>
      </c>
      <c r="E132">
        <v>1</v>
      </c>
      <c r="G132" s="5" t="s">
        <v>36</v>
      </c>
      <c r="H132" t="s">
        <v>37</v>
      </c>
    </row>
    <row r="133" spans="1:8">
      <c r="A133" t="s">
        <v>35</v>
      </c>
      <c r="B133" t="s">
        <v>3</v>
      </c>
      <c r="C133">
        <v>1</v>
      </c>
      <c r="D133">
        <v>1.9</v>
      </c>
      <c r="E133">
        <v>1</v>
      </c>
      <c r="G133" s="5" t="s">
        <v>36</v>
      </c>
      <c r="H133" t="s">
        <v>37</v>
      </c>
    </row>
    <row r="134" spans="1:8">
      <c r="A134" t="s">
        <v>35</v>
      </c>
      <c r="B134" t="s">
        <v>3</v>
      </c>
      <c r="C134">
        <v>1</v>
      </c>
      <c r="D134">
        <v>1.6</v>
      </c>
      <c r="E134">
        <v>1</v>
      </c>
      <c r="G134" s="5" t="s">
        <v>36</v>
      </c>
      <c r="H134" t="s">
        <v>37</v>
      </c>
    </row>
    <row r="135" spans="1:8">
      <c r="A135" t="s">
        <v>35</v>
      </c>
      <c r="B135" t="s">
        <v>3</v>
      </c>
      <c r="C135">
        <v>1</v>
      </c>
      <c r="D135">
        <v>2.4</v>
      </c>
      <c r="E135">
        <v>1</v>
      </c>
      <c r="G135" s="5" t="s">
        <v>36</v>
      </c>
      <c r="H135" t="s">
        <v>37</v>
      </c>
    </row>
    <row r="136" spans="1:8">
      <c r="A136" t="s">
        <v>35</v>
      </c>
      <c r="B136" t="s">
        <v>3</v>
      </c>
      <c r="C136">
        <v>1</v>
      </c>
      <c r="D136">
        <v>1.8</v>
      </c>
      <c r="E136">
        <v>1</v>
      </c>
      <c r="G136" s="5" t="s">
        <v>36</v>
      </c>
      <c r="H136" t="s">
        <v>37</v>
      </c>
    </row>
    <row r="137" spans="1:8">
      <c r="A137" t="s">
        <v>35</v>
      </c>
      <c r="B137" t="s">
        <v>3</v>
      </c>
      <c r="C137">
        <v>1</v>
      </c>
      <c r="D137">
        <v>0.8</v>
      </c>
      <c r="E137">
        <v>1</v>
      </c>
      <c r="G137" s="5" t="s">
        <v>36</v>
      </c>
      <c r="H137" t="s">
        <v>37</v>
      </c>
    </row>
    <row r="138" spans="1:8">
      <c r="A138" t="s">
        <v>35</v>
      </c>
      <c r="B138" t="s">
        <v>3</v>
      </c>
      <c r="C138">
        <v>0</v>
      </c>
      <c r="G138" s="5" t="s">
        <v>36</v>
      </c>
      <c r="H138" t="s">
        <v>37</v>
      </c>
    </row>
    <row r="139" spans="1:8">
      <c r="A139" t="s">
        <v>35</v>
      </c>
      <c r="B139" t="s">
        <v>3</v>
      </c>
      <c r="C139">
        <v>1</v>
      </c>
      <c r="D139">
        <v>4.3</v>
      </c>
      <c r="E139">
        <v>1</v>
      </c>
      <c r="G139" s="5" t="s">
        <v>36</v>
      </c>
      <c r="H139" t="s">
        <v>37</v>
      </c>
    </row>
    <row r="140" spans="1:8">
      <c r="A140" t="s">
        <v>35</v>
      </c>
      <c r="B140" t="s">
        <v>3</v>
      </c>
      <c r="C140">
        <v>1</v>
      </c>
      <c r="D140">
        <v>0.9</v>
      </c>
      <c r="E140">
        <v>1</v>
      </c>
      <c r="G140" s="5" t="s">
        <v>36</v>
      </c>
      <c r="H140" t="s">
        <v>37</v>
      </c>
    </row>
    <row r="141" spans="1:8">
      <c r="A141" t="s">
        <v>35</v>
      </c>
      <c r="B141" t="s">
        <v>3</v>
      </c>
      <c r="C141">
        <v>1</v>
      </c>
      <c r="D141">
        <v>3.9</v>
      </c>
      <c r="E141">
        <v>1</v>
      </c>
      <c r="G141" s="5" t="s">
        <v>36</v>
      </c>
      <c r="H141" t="s">
        <v>37</v>
      </c>
    </row>
    <row r="142" spans="1:8">
      <c r="A142" t="s">
        <v>35</v>
      </c>
      <c r="B142" t="s">
        <v>3</v>
      </c>
      <c r="C142">
        <v>1</v>
      </c>
      <c r="D142">
        <v>1.9</v>
      </c>
      <c r="E142">
        <v>1</v>
      </c>
      <c r="G142" s="5" t="s">
        <v>36</v>
      </c>
      <c r="H142" t="s">
        <v>37</v>
      </c>
    </row>
    <row r="143" spans="1:8">
      <c r="A143" t="s">
        <v>35</v>
      </c>
      <c r="B143" t="s">
        <v>3</v>
      </c>
      <c r="C143">
        <v>0</v>
      </c>
      <c r="G143" s="5" t="s">
        <v>36</v>
      </c>
      <c r="H143" t="s">
        <v>37</v>
      </c>
    </row>
    <row r="144" spans="1:8">
      <c r="A144" t="s">
        <v>35</v>
      </c>
      <c r="B144" t="s">
        <v>3</v>
      </c>
      <c r="C144">
        <v>1</v>
      </c>
      <c r="D144">
        <v>1.6</v>
      </c>
      <c r="E144">
        <v>1</v>
      </c>
      <c r="G144" s="5" t="s">
        <v>36</v>
      </c>
      <c r="H144" t="s">
        <v>37</v>
      </c>
    </row>
    <row r="145" spans="1:8">
      <c r="A145" t="s">
        <v>35</v>
      </c>
      <c r="B145" t="s">
        <v>3</v>
      </c>
      <c r="C145">
        <v>1</v>
      </c>
      <c r="D145">
        <v>2.7</v>
      </c>
      <c r="E145">
        <v>1</v>
      </c>
      <c r="G145" s="5" t="s">
        <v>36</v>
      </c>
      <c r="H145" t="s">
        <v>37</v>
      </c>
    </row>
    <row r="146" spans="1:8">
      <c r="A146" t="s">
        <v>35</v>
      </c>
      <c r="B146" t="s">
        <v>3</v>
      </c>
      <c r="C146">
        <v>1</v>
      </c>
      <c r="D146">
        <v>2.1</v>
      </c>
      <c r="E146">
        <v>1</v>
      </c>
      <c r="G146" s="5" t="s">
        <v>36</v>
      </c>
      <c r="H146" t="s">
        <v>37</v>
      </c>
    </row>
    <row r="147" spans="1:8">
      <c r="A147" t="s">
        <v>35</v>
      </c>
      <c r="B147" t="s">
        <v>3</v>
      </c>
      <c r="C147">
        <v>1</v>
      </c>
      <c r="D147">
        <v>1.1000000000000001</v>
      </c>
      <c r="E147">
        <v>1</v>
      </c>
      <c r="G147" s="5" t="s">
        <v>36</v>
      </c>
      <c r="H147" t="s">
        <v>37</v>
      </c>
    </row>
    <row r="148" spans="1:8">
      <c r="A148" t="s">
        <v>35</v>
      </c>
      <c r="B148" t="s">
        <v>3</v>
      </c>
      <c r="C148">
        <v>1</v>
      </c>
      <c r="D148">
        <v>1.5</v>
      </c>
      <c r="E148">
        <v>1</v>
      </c>
      <c r="G148" s="5" t="s">
        <v>36</v>
      </c>
      <c r="H148" t="s">
        <v>37</v>
      </c>
    </row>
    <row r="149" spans="1:8">
      <c r="A149" t="s">
        <v>35</v>
      </c>
      <c r="B149" t="s">
        <v>3</v>
      </c>
      <c r="C149">
        <v>1</v>
      </c>
      <c r="D149">
        <v>2.2999999999999998</v>
      </c>
      <c r="E149">
        <v>1</v>
      </c>
      <c r="G149" s="5" t="s">
        <v>36</v>
      </c>
      <c r="H149" t="s">
        <v>37</v>
      </c>
    </row>
    <row r="150" spans="1:8">
      <c r="A150" t="s">
        <v>35</v>
      </c>
      <c r="B150" t="s">
        <v>3</v>
      </c>
      <c r="C150">
        <v>1</v>
      </c>
      <c r="D150">
        <v>1.5</v>
      </c>
      <c r="E150">
        <v>1</v>
      </c>
      <c r="G150" s="5" t="s">
        <v>36</v>
      </c>
      <c r="H150" t="s">
        <v>37</v>
      </c>
    </row>
    <row r="151" spans="1:8">
      <c r="A151" t="s">
        <v>35</v>
      </c>
      <c r="B151" t="s">
        <v>3</v>
      </c>
      <c r="C151">
        <v>1</v>
      </c>
      <c r="D151">
        <v>1.6</v>
      </c>
      <c r="E151">
        <v>1</v>
      </c>
      <c r="G151" s="5" t="s">
        <v>36</v>
      </c>
      <c r="H151" t="s">
        <v>37</v>
      </c>
    </row>
    <row r="152" spans="1:8">
      <c r="A152" t="s">
        <v>35</v>
      </c>
      <c r="B152" t="s">
        <v>3</v>
      </c>
      <c r="C152">
        <v>1</v>
      </c>
      <c r="D152">
        <v>1.6</v>
      </c>
      <c r="E152">
        <v>1</v>
      </c>
      <c r="G152" s="5" t="s">
        <v>36</v>
      </c>
      <c r="H152" t="s">
        <v>37</v>
      </c>
    </row>
    <row r="153" spans="1:8">
      <c r="A153" t="s">
        <v>35</v>
      </c>
      <c r="B153" t="s">
        <v>3</v>
      </c>
      <c r="C153">
        <v>0</v>
      </c>
      <c r="G153" s="5" t="s">
        <v>36</v>
      </c>
      <c r="H153" t="s">
        <v>37</v>
      </c>
    </row>
    <row r="154" spans="1:8">
      <c r="A154" t="s">
        <v>35</v>
      </c>
      <c r="B154" t="s">
        <v>3</v>
      </c>
      <c r="C154">
        <v>1</v>
      </c>
      <c r="D154">
        <v>1</v>
      </c>
      <c r="E154">
        <v>1</v>
      </c>
      <c r="G154" s="5" t="s">
        <v>36</v>
      </c>
      <c r="H154" t="s">
        <v>37</v>
      </c>
    </row>
    <row r="155" spans="1:8">
      <c r="A155" t="s">
        <v>35</v>
      </c>
      <c r="B155" t="s">
        <v>3</v>
      </c>
      <c r="C155">
        <v>1</v>
      </c>
      <c r="D155">
        <v>429.8</v>
      </c>
      <c r="E155">
        <v>1</v>
      </c>
      <c r="G155" s="5" t="s">
        <v>36</v>
      </c>
      <c r="H155" t="s">
        <v>37</v>
      </c>
    </row>
    <row r="156" spans="1:8">
      <c r="A156" t="s">
        <v>35</v>
      </c>
      <c r="B156" t="s">
        <v>3</v>
      </c>
      <c r="C156">
        <v>1</v>
      </c>
      <c r="D156">
        <v>2.6</v>
      </c>
      <c r="E156">
        <v>1</v>
      </c>
      <c r="G156" s="5" t="s">
        <v>36</v>
      </c>
      <c r="H156" t="s">
        <v>37</v>
      </c>
    </row>
    <row r="157" spans="1:8">
      <c r="A157" t="s">
        <v>35</v>
      </c>
      <c r="B157" t="s">
        <v>3</v>
      </c>
      <c r="C157">
        <v>1</v>
      </c>
      <c r="D157">
        <v>0.5</v>
      </c>
      <c r="E157">
        <v>1</v>
      </c>
      <c r="G157" s="5" t="s">
        <v>36</v>
      </c>
      <c r="H157" t="s">
        <v>37</v>
      </c>
    </row>
    <row r="158" spans="1:8">
      <c r="A158" t="s">
        <v>35</v>
      </c>
      <c r="B158" t="s">
        <v>3</v>
      </c>
      <c r="C158">
        <v>1</v>
      </c>
      <c r="D158">
        <v>1</v>
      </c>
      <c r="E158">
        <v>1</v>
      </c>
      <c r="G158" s="5" t="s">
        <v>36</v>
      </c>
      <c r="H158" t="s">
        <v>37</v>
      </c>
    </row>
    <row r="159" spans="1:8">
      <c r="A159" t="s">
        <v>35</v>
      </c>
      <c r="B159" t="s">
        <v>10</v>
      </c>
      <c r="C159">
        <v>1</v>
      </c>
      <c r="D159">
        <v>0.7</v>
      </c>
      <c r="E159">
        <v>1</v>
      </c>
      <c r="G159" s="5" t="s">
        <v>36</v>
      </c>
      <c r="H159" t="s">
        <v>37</v>
      </c>
    </row>
    <row r="160" spans="1:8">
      <c r="A160" t="s">
        <v>35</v>
      </c>
      <c r="B160" t="s">
        <v>10</v>
      </c>
      <c r="C160">
        <v>1</v>
      </c>
      <c r="D160">
        <v>1.6</v>
      </c>
      <c r="E160">
        <v>1</v>
      </c>
      <c r="G160" s="5" t="s">
        <v>36</v>
      </c>
      <c r="H160" t="s">
        <v>37</v>
      </c>
    </row>
    <row r="161" spans="1:8">
      <c r="A161" t="s">
        <v>35</v>
      </c>
      <c r="B161" t="s">
        <v>10</v>
      </c>
      <c r="C161">
        <v>1</v>
      </c>
      <c r="D161">
        <v>2.7</v>
      </c>
      <c r="E161">
        <v>1</v>
      </c>
      <c r="G161" s="5" t="s">
        <v>36</v>
      </c>
      <c r="H161" t="s">
        <v>37</v>
      </c>
    </row>
    <row r="162" spans="1:8">
      <c r="A162" t="s">
        <v>35</v>
      </c>
      <c r="B162" t="s">
        <v>10</v>
      </c>
      <c r="C162">
        <v>1</v>
      </c>
      <c r="D162">
        <v>2</v>
      </c>
      <c r="E162">
        <v>1</v>
      </c>
      <c r="G162" s="5" t="s">
        <v>36</v>
      </c>
      <c r="H162" t="s">
        <v>37</v>
      </c>
    </row>
    <row r="163" spans="1:8">
      <c r="A163" t="s">
        <v>35</v>
      </c>
      <c r="B163" t="s">
        <v>10</v>
      </c>
      <c r="C163">
        <v>1</v>
      </c>
      <c r="D163">
        <v>1</v>
      </c>
      <c r="E163">
        <v>1</v>
      </c>
      <c r="G163" s="5" t="s">
        <v>36</v>
      </c>
      <c r="H163" t="s">
        <v>37</v>
      </c>
    </row>
    <row r="164" spans="1:8">
      <c r="A164" t="s">
        <v>35</v>
      </c>
      <c r="B164" t="s">
        <v>10</v>
      </c>
      <c r="C164">
        <v>1</v>
      </c>
      <c r="D164">
        <v>3.4</v>
      </c>
      <c r="E164">
        <v>1</v>
      </c>
      <c r="G164" s="5" t="s">
        <v>36</v>
      </c>
      <c r="H164" t="s">
        <v>37</v>
      </c>
    </row>
    <row r="165" spans="1:8">
      <c r="A165" t="s">
        <v>35</v>
      </c>
      <c r="B165" t="s">
        <v>10</v>
      </c>
      <c r="C165">
        <v>1</v>
      </c>
      <c r="D165">
        <v>3</v>
      </c>
      <c r="E165">
        <v>1</v>
      </c>
      <c r="G165" s="5" t="s">
        <v>36</v>
      </c>
      <c r="H165" t="s">
        <v>37</v>
      </c>
    </row>
    <row r="166" spans="1:8">
      <c r="A166" t="s">
        <v>35</v>
      </c>
      <c r="B166" t="s">
        <v>10</v>
      </c>
      <c r="C166">
        <v>1</v>
      </c>
      <c r="D166">
        <v>2.1</v>
      </c>
      <c r="E166">
        <v>1</v>
      </c>
      <c r="G166" s="5" t="s">
        <v>36</v>
      </c>
      <c r="H166" t="s">
        <v>37</v>
      </c>
    </row>
    <row r="167" spans="1:8">
      <c r="A167" t="s">
        <v>35</v>
      </c>
      <c r="B167" t="s">
        <v>10</v>
      </c>
      <c r="C167">
        <v>1</v>
      </c>
      <c r="D167">
        <v>1.7</v>
      </c>
      <c r="E167">
        <v>1</v>
      </c>
      <c r="G167" s="5" t="s">
        <v>36</v>
      </c>
      <c r="H167" t="s">
        <v>37</v>
      </c>
    </row>
    <row r="168" spans="1:8">
      <c r="A168" t="s">
        <v>35</v>
      </c>
      <c r="B168" t="s">
        <v>10</v>
      </c>
      <c r="C168">
        <v>1</v>
      </c>
      <c r="D168">
        <v>2.1</v>
      </c>
      <c r="E168">
        <v>1</v>
      </c>
      <c r="G168" s="5" t="s">
        <v>36</v>
      </c>
      <c r="H168" t="s">
        <v>37</v>
      </c>
    </row>
    <row r="169" spans="1:8">
      <c r="A169" t="s">
        <v>35</v>
      </c>
      <c r="B169" t="s">
        <v>14</v>
      </c>
      <c r="C169">
        <v>1</v>
      </c>
      <c r="D169">
        <v>4.9000000000000004</v>
      </c>
      <c r="E169">
        <v>1</v>
      </c>
      <c r="G169" s="5" t="s">
        <v>36</v>
      </c>
      <c r="H169" t="s">
        <v>37</v>
      </c>
    </row>
    <row r="170" spans="1:8">
      <c r="A170" t="s">
        <v>35</v>
      </c>
      <c r="B170" t="s">
        <v>14</v>
      </c>
      <c r="C170">
        <v>1</v>
      </c>
      <c r="D170">
        <v>2.2000000000000002</v>
      </c>
      <c r="E170">
        <v>1</v>
      </c>
      <c r="G170" s="5" t="s">
        <v>36</v>
      </c>
      <c r="H170" t="s">
        <v>37</v>
      </c>
    </row>
    <row r="171" spans="1:8">
      <c r="A171" t="s">
        <v>35</v>
      </c>
      <c r="B171" t="s">
        <v>14</v>
      </c>
      <c r="C171">
        <v>1</v>
      </c>
      <c r="D171">
        <v>5.8</v>
      </c>
      <c r="E171">
        <v>1</v>
      </c>
      <c r="G171" s="5" t="s">
        <v>36</v>
      </c>
      <c r="H171" t="s">
        <v>37</v>
      </c>
    </row>
    <row r="172" spans="1:8">
      <c r="A172" t="s">
        <v>35</v>
      </c>
      <c r="B172" t="s">
        <v>14</v>
      </c>
      <c r="C172">
        <v>1</v>
      </c>
      <c r="D172">
        <v>2.2000000000000002</v>
      </c>
      <c r="E172">
        <v>1</v>
      </c>
      <c r="G172" s="5" t="s">
        <v>36</v>
      </c>
      <c r="H172" t="s">
        <v>37</v>
      </c>
    </row>
    <row r="173" spans="1:8">
      <c r="A173" t="s">
        <v>35</v>
      </c>
      <c r="B173" t="s">
        <v>14</v>
      </c>
      <c r="C173">
        <v>1</v>
      </c>
      <c r="D173">
        <v>1.1000000000000001</v>
      </c>
      <c r="E173">
        <v>1</v>
      </c>
      <c r="G173" s="5" t="s">
        <v>36</v>
      </c>
      <c r="H173" t="s">
        <v>37</v>
      </c>
    </row>
    <row r="174" spans="1:8">
      <c r="A174" t="s">
        <v>35</v>
      </c>
      <c r="B174" t="s">
        <v>21</v>
      </c>
      <c r="C174">
        <v>1</v>
      </c>
      <c r="D174">
        <v>4.4000000000000004</v>
      </c>
      <c r="E174">
        <v>1</v>
      </c>
      <c r="G174" s="5" t="s">
        <v>36</v>
      </c>
      <c r="H174" t="s">
        <v>37</v>
      </c>
    </row>
    <row r="175" spans="1:8">
      <c r="A175" t="s">
        <v>35</v>
      </c>
      <c r="B175" t="s">
        <v>11</v>
      </c>
      <c r="C175">
        <v>1</v>
      </c>
      <c r="D175">
        <v>1.3</v>
      </c>
      <c r="E175">
        <v>0</v>
      </c>
      <c r="G175" s="5" t="s">
        <v>36</v>
      </c>
      <c r="H175" t="s">
        <v>37</v>
      </c>
    </row>
    <row r="176" spans="1:8">
      <c r="A176" t="s">
        <v>35</v>
      </c>
      <c r="B176" t="s">
        <v>11</v>
      </c>
      <c r="C176">
        <v>1</v>
      </c>
      <c r="D176">
        <v>2.1</v>
      </c>
      <c r="E176">
        <v>1</v>
      </c>
      <c r="G176" s="5" t="s">
        <v>36</v>
      </c>
      <c r="H176" t="s">
        <v>37</v>
      </c>
    </row>
    <row r="177" spans="1:8">
      <c r="A177" t="s">
        <v>35</v>
      </c>
      <c r="B177" t="s">
        <v>11</v>
      </c>
      <c r="C177">
        <v>1</v>
      </c>
      <c r="D177">
        <v>0.9</v>
      </c>
      <c r="E177">
        <v>1</v>
      </c>
      <c r="G177" s="5" t="s">
        <v>36</v>
      </c>
      <c r="H177" t="s">
        <v>37</v>
      </c>
    </row>
    <row r="178" spans="1:8">
      <c r="A178" t="s">
        <v>35</v>
      </c>
      <c r="B178" t="s">
        <v>11</v>
      </c>
      <c r="C178">
        <v>1</v>
      </c>
      <c r="D178">
        <v>2.2000000000000002</v>
      </c>
      <c r="E178">
        <v>1</v>
      </c>
      <c r="G178" s="5" t="s">
        <v>36</v>
      </c>
      <c r="H178" t="s">
        <v>37</v>
      </c>
    </row>
    <row r="179" spans="1:8">
      <c r="A179" t="s">
        <v>35</v>
      </c>
      <c r="B179" t="s">
        <v>7</v>
      </c>
      <c r="C179">
        <v>1</v>
      </c>
      <c r="D179">
        <v>2.5</v>
      </c>
      <c r="E179">
        <v>1</v>
      </c>
      <c r="G179" s="5" t="s">
        <v>36</v>
      </c>
      <c r="H179" t="s">
        <v>37</v>
      </c>
    </row>
    <row r="180" spans="1:8">
      <c r="A180" t="s">
        <v>35</v>
      </c>
      <c r="B180" t="s">
        <v>7</v>
      </c>
      <c r="C180">
        <v>1</v>
      </c>
      <c r="D180">
        <v>0.9</v>
      </c>
      <c r="E180">
        <v>1</v>
      </c>
      <c r="G180" s="5" t="s">
        <v>36</v>
      </c>
      <c r="H180" t="s">
        <v>37</v>
      </c>
    </row>
    <row r="181" spans="1:8">
      <c r="A181" t="s">
        <v>35</v>
      </c>
      <c r="B181" t="s">
        <v>7</v>
      </c>
      <c r="C181">
        <v>1</v>
      </c>
      <c r="D181">
        <v>4.5999999999999996</v>
      </c>
      <c r="E181">
        <v>1</v>
      </c>
      <c r="G181" s="5" t="s">
        <v>36</v>
      </c>
      <c r="H181" t="s">
        <v>37</v>
      </c>
    </row>
    <row r="182" spans="1:8">
      <c r="A182" t="s">
        <v>35</v>
      </c>
      <c r="B182" t="s">
        <v>16</v>
      </c>
      <c r="C182">
        <v>1</v>
      </c>
      <c r="D182">
        <v>3.1</v>
      </c>
      <c r="E182">
        <v>1</v>
      </c>
      <c r="G182" s="5" t="s">
        <v>36</v>
      </c>
      <c r="H182" t="s">
        <v>37</v>
      </c>
    </row>
    <row r="183" spans="1:8">
      <c r="A183" t="s">
        <v>35</v>
      </c>
      <c r="B183" t="s">
        <v>16</v>
      </c>
      <c r="C183">
        <v>1</v>
      </c>
      <c r="D183">
        <v>1.2</v>
      </c>
      <c r="E183">
        <v>1</v>
      </c>
      <c r="G183" s="5" t="s">
        <v>36</v>
      </c>
      <c r="H183" t="s">
        <v>37</v>
      </c>
    </row>
    <row r="184" spans="1:8">
      <c r="A184" t="s">
        <v>35</v>
      </c>
      <c r="B184" t="s">
        <v>16</v>
      </c>
      <c r="C184">
        <v>1</v>
      </c>
      <c r="D184">
        <v>3.7</v>
      </c>
      <c r="E184">
        <v>1</v>
      </c>
      <c r="G184" s="5" t="s">
        <v>36</v>
      </c>
      <c r="H184" t="s">
        <v>37</v>
      </c>
    </row>
    <row r="185" spans="1:8">
      <c r="A185" t="s">
        <v>35</v>
      </c>
      <c r="B185" t="s">
        <v>16</v>
      </c>
      <c r="C185">
        <v>1</v>
      </c>
      <c r="D185">
        <v>0.7</v>
      </c>
      <c r="E185">
        <v>1</v>
      </c>
      <c r="G185" s="5" t="s">
        <v>36</v>
      </c>
      <c r="H185" t="s">
        <v>37</v>
      </c>
    </row>
    <row r="186" spans="1:8">
      <c r="A186" t="s">
        <v>35</v>
      </c>
      <c r="B186" t="s">
        <v>16</v>
      </c>
      <c r="C186">
        <v>1</v>
      </c>
      <c r="D186">
        <v>0.7</v>
      </c>
      <c r="E186">
        <v>1</v>
      </c>
      <c r="G186" s="5" t="s">
        <v>36</v>
      </c>
      <c r="H186" t="s">
        <v>37</v>
      </c>
    </row>
    <row r="187" spans="1:8">
      <c r="A187" t="s">
        <v>35</v>
      </c>
      <c r="B187" t="s">
        <v>16</v>
      </c>
      <c r="C187">
        <v>1</v>
      </c>
      <c r="D187">
        <v>2.4</v>
      </c>
      <c r="E187">
        <v>1</v>
      </c>
      <c r="G187" s="5" t="s">
        <v>36</v>
      </c>
      <c r="H187" t="s">
        <v>37</v>
      </c>
    </row>
    <row r="188" spans="1:8">
      <c r="A188" t="s">
        <v>35</v>
      </c>
      <c r="B188" t="s">
        <v>16</v>
      </c>
      <c r="C188">
        <v>1</v>
      </c>
      <c r="D188">
        <v>0.6</v>
      </c>
      <c r="E188">
        <v>1</v>
      </c>
      <c r="G188" s="5" t="s">
        <v>36</v>
      </c>
      <c r="H188" t="s">
        <v>37</v>
      </c>
    </row>
    <row r="189" spans="1:8">
      <c r="A189" t="s">
        <v>35</v>
      </c>
      <c r="B189" t="s">
        <v>16</v>
      </c>
      <c r="C189">
        <v>1</v>
      </c>
      <c r="D189">
        <v>0.6</v>
      </c>
      <c r="E189">
        <v>1</v>
      </c>
      <c r="G189" s="5" t="s">
        <v>36</v>
      </c>
      <c r="H189" t="s">
        <v>37</v>
      </c>
    </row>
    <row r="190" spans="1:8">
      <c r="A190" t="s">
        <v>35</v>
      </c>
      <c r="B190" t="s">
        <v>16</v>
      </c>
      <c r="C190">
        <v>1</v>
      </c>
      <c r="D190">
        <v>1</v>
      </c>
      <c r="E190">
        <v>1</v>
      </c>
      <c r="G190" s="5" t="s">
        <v>36</v>
      </c>
      <c r="H190" t="s">
        <v>37</v>
      </c>
    </row>
    <row r="191" spans="1:8">
      <c r="A191" t="s">
        <v>35</v>
      </c>
      <c r="B191" t="s">
        <v>16</v>
      </c>
      <c r="C191">
        <v>1</v>
      </c>
      <c r="D191">
        <v>0.8</v>
      </c>
      <c r="E191">
        <v>1</v>
      </c>
      <c r="G191" s="5" t="s">
        <v>36</v>
      </c>
      <c r="H191" t="s">
        <v>37</v>
      </c>
    </row>
    <row r="192" spans="1:8">
      <c r="A192" t="s">
        <v>35</v>
      </c>
      <c r="B192" t="s">
        <v>16</v>
      </c>
      <c r="C192">
        <v>1</v>
      </c>
      <c r="D192">
        <v>1.5</v>
      </c>
      <c r="E192">
        <v>1</v>
      </c>
      <c r="G192" s="5" t="s">
        <v>36</v>
      </c>
      <c r="H192" t="s">
        <v>37</v>
      </c>
    </row>
    <row r="193" spans="1:8">
      <c r="A193" t="s">
        <v>35</v>
      </c>
      <c r="B193" t="s">
        <v>16</v>
      </c>
      <c r="C193">
        <v>1</v>
      </c>
      <c r="D193">
        <v>1</v>
      </c>
      <c r="E193">
        <v>1</v>
      </c>
      <c r="G193" s="5" t="s">
        <v>36</v>
      </c>
      <c r="H193" t="s">
        <v>37</v>
      </c>
    </row>
    <row r="194" spans="1:8">
      <c r="A194" t="s">
        <v>35</v>
      </c>
      <c r="B194" t="s">
        <v>16</v>
      </c>
      <c r="C194">
        <v>1</v>
      </c>
      <c r="D194">
        <v>0.4</v>
      </c>
      <c r="E194">
        <v>1</v>
      </c>
      <c r="G194" s="5" t="s">
        <v>36</v>
      </c>
      <c r="H194" t="s">
        <v>37</v>
      </c>
    </row>
    <row r="195" spans="1:8">
      <c r="A195" t="s">
        <v>35</v>
      </c>
      <c r="B195" t="s">
        <v>16</v>
      </c>
      <c r="C195">
        <v>1</v>
      </c>
      <c r="D195">
        <v>1.6</v>
      </c>
      <c r="E195">
        <v>1</v>
      </c>
      <c r="G195" s="5" t="s">
        <v>36</v>
      </c>
      <c r="H195" t="s">
        <v>37</v>
      </c>
    </row>
    <row r="196" spans="1:8">
      <c r="A196" t="s">
        <v>35</v>
      </c>
      <c r="B196" t="s">
        <v>16</v>
      </c>
      <c r="C196">
        <v>1</v>
      </c>
      <c r="D196">
        <v>2</v>
      </c>
      <c r="E196">
        <v>1</v>
      </c>
      <c r="G196" s="5" t="s">
        <v>36</v>
      </c>
      <c r="H196" t="s">
        <v>37</v>
      </c>
    </row>
    <row r="197" spans="1:8">
      <c r="A197" t="s">
        <v>35</v>
      </c>
      <c r="B197" t="s">
        <v>16</v>
      </c>
      <c r="C197">
        <v>1</v>
      </c>
      <c r="D197">
        <v>1.3</v>
      </c>
      <c r="E197">
        <v>1</v>
      </c>
      <c r="G197" s="5" t="s">
        <v>36</v>
      </c>
      <c r="H197" t="s">
        <v>37</v>
      </c>
    </row>
    <row r="198" spans="1:8">
      <c r="A198" t="s">
        <v>35</v>
      </c>
      <c r="B198" t="s">
        <v>16</v>
      </c>
      <c r="C198">
        <v>1</v>
      </c>
      <c r="D198">
        <v>1.5</v>
      </c>
      <c r="E198">
        <v>1</v>
      </c>
      <c r="G198" s="5" t="s">
        <v>36</v>
      </c>
      <c r="H198" t="s">
        <v>37</v>
      </c>
    </row>
    <row r="199" spans="1:8">
      <c r="A199" t="s">
        <v>35</v>
      </c>
      <c r="B199" t="s">
        <v>16</v>
      </c>
      <c r="C199">
        <v>1</v>
      </c>
      <c r="D199">
        <v>1</v>
      </c>
      <c r="E199">
        <v>1</v>
      </c>
      <c r="G199" s="5" t="s">
        <v>36</v>
      </c>
      <c r="H199" t="s">
        <v>37</v>
      </c>
    </row>
    <row r="200" spans="1:8">
      <c r="A200" t="s">
        <v>35</v>
      </c>
      <c r="B200" t="s">
        <v>16</v>
      </c>
      <c r="C200">
        <v>1</v>
      </c>
      <c r="D200">
        <v>6.9</v>
      </c>
      <c r="E200">
        <v>1</v>
      </c>
      <c r="G200" s="5" t="s">
        <v>36</v>
      </c>
      <c r="H200" t="s">
        <v>37</v>
      </c>
    </row>
    <row r="201" spans="1:8">
      <c r="A201" t="s">
        <v>35</v>
      </c>
      <c r="B201" t="s">
        <v>16</v>
      </c>
      <c r="C201">
        <v>1</v>
      </c>
      <c r="D201">
        <v>0.9</v>
      </c>
      <c r="E201">
        <v>1</v>
      </c>
      <c r="G201" s="5" t="s">
        <v>36</v>
      </c>
      <c r="H201" t="s">
        <v>37</v>
      </c>
    </row>
    <row r="202" spans="1:8">
      <c r="A202" t="s">
        <v>35</v>
      </c>
      <c r="B202" t="s">
        <v>16</v>
      </c>
      <c r="C202">
        <v>1</v>
      </c>
      <c r="D202">
        <v>0.8</v>
      </c>
      <c r="E202">
        <v>1</v>
      </c>
      <c r="G202" s="5" t="s">
        <v>36</v>
      </c>
      <c r="H202" t="s">
        <v>37</v>
      </c>
    </row>
    <row r="203" spans="1:8">
      <c r="A203" t="s">
        <v>35</v>
      </c>
      <c r="B203" t="s">
        <v>16</v>
      </c>
      <c r="C203">
        <v>1</v>
      </c>
      <c r="D203">
        <v>1.5</v>
      </c>
      <c r="E203">
        <v>1</v>
      </c>
      <c r="G203" s="5" t="s">
        <v>36</v>
      </c>
      <c r="H203" t="s">
        <v>37</v>
      </c>
    </row>
    <row r="204" spans="1:8">
      <c r="A204" t="s">
        <v>35</v>
      </c>
      <c r="B204" t="s">
        <v>16</v>
      </c>
      <c r="C204">
        <v>1</v>
      </c>
      <c r="D204">
        <v>0.6</v>
      </c>
      <c r="E204">
        <v>1</v>
      </c>
      <c r="G204" s="5" t="s">
        <v>36</v>
      </c>
      <c r="H204" t="s">
        <v>37</v>
      </c>
    </row>
    <row r="205" spans="1:8">
      <c r="A205" t="s">
        <v>35</v>
      </c>
      <c r="B205" t="s">
        <v>16</v>
      </c>
      <c r="C205">
        <v>1</v>
      </c>
      <c r="D205">
        <v>1.7</v>
      </c>
      <c r="E205">
        <v>1</v>
      </c>
      <c r="G205" s="5" t="s">
        <v>36</v>
      </c>
      <c r="H205" t="s">
        <v>37</v>
      </c>
    </row>
    <row r="206" spans="1:8">
      <c r="A206" t="s">
        <v>35</v>
      </c>
      <c r="B206" t="s">
        <v>16</v>
      </c>
      <c r="C206">
        <v>1</v>
      </c>
      <c r="D206">
        <v>0.9</v>
      </c>
      <c r="E206">
        <v>1</v>
      </c>
      <c r="G206" s="5" t="s">
        <v>36</v>
      </c>
      <c r="H206" t="s">
        <v>37</v>
      </c>
    </row>
    <row r="207" spans="1:8">
      <c r="A207" t="s">
        <v>35</v>
      </c>
      <c r="B207" t="s">
        <v>16</v>
      </c>
      <c r="C207">
        <v>1</v>
      </c>
      <c r="D207">
        <v>1.2</v>
      </c>
      <c r="E207">
        <v>1</v>
      </c>
      <c r="G207" s="5" t="s">
        <v>36</v>
      </c>
      <c r="H207" t="s">
        <v>37</v>
      </c>
    </row>
    <row r="208" spans="1:8">
      <c r="A208" t="s">
        <v>35</v>
      </c>
      <c r="B208" t="s">
        <v>16</v>
      </c>
      <c r="C208">
        <v>1</v>
      </c>
      <c r="D208">
        <v>0.9</v>
      </c>
      <c r="E208">
        <v>1</v>
      </c>
      <c r="G208" s="5" t="s">
        <v>36</v>
      </c>
      <c r="H208" t="s">
        <v>37</v>
      </c>
    </row>
    <row r="209" spans="1:8">
      <c r="A209" t="s">
        <v>35</v>
      </c>
      <c r="B209" t="s">
        <v>16</v>
      </c>
      <c r="C209">
        <v>1</v>
      </c>
      <c r="D209">
        <v>1.1000000000000001</v>
      </c>
      <c r="E209">
        <v>1</v>
      </c>
      <c r="G209" s="5" t="s">
        <v>36</v>
      </c>
      <c r="H209" t="s">
        <v>37</v>
      </c>
    </row>
    <row r="210" spans="1:8">
      <c r="A210" t="s">
        <v>35</v>
      </c>
      <c r="B210" t="s">
        <v>16</v>
      </c>
      <c r="C210">
        <v>1</v>
      </c>
      <c r="D210">
        <v>0.8</v>
      </c>
      <c r="E210">
        <v>1</v>
      </c>
      <c r="G210" s="5" t="s">
        <v>36</v>
      </c>
      <c r="H210" t="s">
        <v>37</v>
      </c>
    </row>
    <row r="211" spans="1:8">
      <c r="A211" t="s">
        <v>35</v>
      </c>
      <c r="B211" t="s">
        <v>16</v>
      </c>
      <c r="C211">
        <v>1</v>
      </c>
      <c r="D211">
        <v>0.6</v>
      </c>
      <c r="E211">
        <v>1</v>
      </c>
      <c r="G211" s="5" t="s">
        <v>36</v>
      </c>
      <c r="H211" t="s">
        <v>37</v>
      </c>
    </row>
    <row r="212" spans="1:8">
      <c r="A212" t="s">
        <v>35</v>
      </c>
      <c r="B212" t="s">
        <v>16</v>
      </c>
      <c r="C212">
        <v>1</v>
      </c>
      <c r="D212">
        <v>1.6</v>
      </c>
      <c r="E212">
        <v>1</v>
      </c>
      <c r="G212" s="5" t="s">
        <v>36</v>
      </c>
      <c r="H212" t="s">
        <v>37</v>
      </c>
    </row>
    <row r="213" spans="1:8">
      <c r="A213" t="s">
        <v>35</v>
      </c>
      <c r="B213" t="s">
        <v>16</v>
      </c>
      <c r="C213">
        <v>1</v>
      </c>
      <c r="D213">
        <v>1</v>
      </c>
      <c r="E213">
        <v>1</v>
      </c>
      <c r="G213" s="5" t="s">
        <v>36</v>
      </c>
      <c r="H213" t="s">
        <v>37</v>
      </c>
    </row>
    <row r="214" spans="1:8">
      <c r="A214" t="s">
        <v>35</v>
      </c>
      <c r="B214" t="s">
        <v>16</v>
      </c>
      <c r="C214">
        <v>1</v>
      </c>
      <c r="D214">
        <v>5.8</v>
      </c>
      <c r="E214">
        <v>1</v>
      </c>
      <c r="G214" s="5" t="s">
        <v>36</v>
      </c>
      <c r="H214" t="s">
        <v>37</v>
      </c>
    </row>
    <row r="215" spans="1:8">
      <c r="A215" t="s">
        <v>35</v>
      </c>
      <c r="B215" t="s">
        <v>16</v>
      </c>
      <c r="C215">
        <v>1</v>
      </c>
      <c r="D215">
        <v>1.4</v>
      </c>
      <c r="E215">
        <v>1</v>
      </c>
      <c r="G215" s="5" t="s">
        <v>36</v>
      </c>
      <c r="H215" t="s">
        <v>37</v>
      </c>
    </row>
    <row r="216" spans="1:8">
      <c r="A216" t="s">
        <v>35</v>
      </c>
      <c r="B216" t="s">
        <v>16</v>
      </c>
      <c r="C216">
        <v>1</v>
      </c>
      <c r="D216">
        <v>2.5</v>
      </c>
      <c r="E216">
        <v>1</v>
      </c>
      <c r="G216" s="5" t="s">
        <v>36</v>
      </c>
      <c r="H216" t="s">
        <v>37</v>
      </c>
    </row>
    <row r="217" spans="1:8">
      <c r="A217" t="s">
        <v>35</v>
      </c>
      <c r="B217" t="s">
        <v>16</v>
      </c>
      <c r="C217">
        <v>1</v>
      </c>
      <c r="D217">
        <v>0.6</v>
      </c>
      <c r="E217">
        <v>1</v>
      </c>
      <c r="G217" s="5" t="s">
        <v>36</v>
      </c>
      <c r="H217" t="s">
        <v>37</v>
      </c>
    </row>
    <row r="218" spans="1:8">
      <c r="A218" t="s">
        <v>35</v>
      </c>
      <c r="B218" t="s">
        <v>16</v>
      </c>
      <c r="C218">
        <v>1</v>
      </c>
      <c r="D218">
        <v>0.6</v>
      </c>
      <c r="E218">
        <v>1</v>
      </c>
      <c r="G218" s="5" t="s">
        <v>36</v>
      </c>
      <c r="H218" t="s">
        <v>37</v>
      </c>
    </row>
    <row r="219" spans="1:8">
      <c r="A219" t="s">
        <v>35</v>
      </c>
      <c r="B219" t="s">
        <v>16</v>
      </c>
      <c r="C219">
        <v>1</v>
      </c>
      <c r="D219">
        <v>1</v>
      </c>
      <c r="E219">
        <v>1</v>
      </c>
      <c r="G219" s="5" t="s">
        <v>36</v>
      </c>
      <c r="H219" t="s">
        <v>37</v>
      </c>
    </row>
    <row r="220" spans="1:8">
      <c r="A220" t="s">
        <v>35</v>
      </c>
      <c r="B220" t="s">
        <v>16</v>
      </c>
      <c r="C220">
        <v>1</v>
      </c>
      <c r="D220">
        <v>2.1</v>
      </c>
      <c r="E220">
        <v>1</v>
      </c>
      <c r="G220" s="5" t="s">
        <v>36</v>
      </c>
      <c r="H220" t="s">
        <v>37</v>
      </c>
    </row>
    <row r="221" spans="1:8">
      <c r="A221" t="s">
        <v>35</v>
      </c>
      <c r="B221" t="s">
        <v>16</v>
      </c>
      <c r="C221">
        <v>1</v>
      </c>
      <c r="D221">
        <v>0.9</v>
      </c>
      <c r="E221">
        <v>1</v>
      </c>
      <c r="G221" s="5" t="s">
        <v>36</v>
      </c>
      <c r="H221" t="s">
        <v>37</v>
      </c>
    </row>
    <row r="222" spans="1:8">
      <c r="A222" t="s">
        <v>35</v>
      </c>
      <c r="B222" t="s">
        <v>16</v>
      </c>
      <c r="C222">
        <v>1</v>
      </c>
      <c r="D222">
        <v>0.9</v>
      </c>
      <c r="E222">
        <v>1</v>
      </c>
      <c r="G222" s="5" t="s">
        <v>36</v>
      </c>
      <c r="H222" t="s">
        <v>37</v>
      </c>
    </row>
    <row r="223" spans="1:8">
      <c r="A223" t="s">
        <v>35</v>
      </c>
      <c r="B223" t="s">
        <v>16</v>
      </c>
      <c r="C223">
        <v>1</v>
      </c>
      <c r="D223">
        <v>0.6</v>
      </c>
      <c r="E223">
        <v>1</v>
      </c>
      <c r="G223" s="5" t="s">
        <v>36</v>
      </c>
      <c r="H223" t="s">
        <v>37</v>
      </c>
    </row>
    <row r="224" spans="1:8">
      <c r="A224" t="s">
        <v>35</v>
      </c>
      <c r="B224" t="s">
        <v>16</v>
      </c>
      <c r="C224">
        <v>1</v>
      </c>
      <c r="D224">
        <v>2</v>
      </c>
      <c r="E224">
        <v>1</v>
      </c>
      <c r="G224" s="5" t="s">
        <v>36</v>
      </c>
      <c r="H224" t="s">
        <v>37</v>
      </c>
    </row>
    <row r="225" spans="1:8">
      <c r="A225" t="s">
        <v>35</v>
      </c>
      <c r="B225" t="s">
        <v>16</v>
      </c>
      <c r="C225">
        <v>1</v>
      </c>
      <c r="D225">
        <v>1.2</v>
      </c>
      <c r="E225">
        <v>1</v>
      </c>
      <c r="G225" s="5" t="s">
        <v>36</v>
      </c>
      <c r="H225" t="s">
        <v>37</v>
      </c>
    </row>
    <row r="226" spans="1:8">
      <c r="A226" t="s">
        <v>35</v>
      </c>
      <c r="B226" t="s">
        <v>5</v>
      </c>
      <c r="C226">
        <v>1</v>
      </c>
      <c r="D226">
        <v>2.5</v>
      </c>
      <c r="E226">
        <v>1</v>
      </c>
      <c r="G226" s="5" t="s">
        <v>36</v>
      </c>
      <c r="H226" t="s">
        <v>37</v>
      </c>
    </row>
    <row r="227" spans="1:8">
      <c r="A227" t="s">
        <v>35</v>
      </c>
      <c r="B227" t="s">
        <v>5</v>
      </c>
      <c r="C227">
        <v>1</v>
      </c>
      <c r="D227">
        <v>4</v>
      </c>
      <c r="E227">
        <v>1</v>
      </c>
      <c r="G227" s="5" t="s">
        <v>36</v>
      </c>
      <c r="H227" t="s">
        <v>37</v>
      </c>
    </row>
    <row r="228" spans="1:8">
      <c r="A228" t="s">
        <v>35</v>
      </c>
      <c r="B228" t="s">
        <v>5</v>
      </c>
      <c r="C228">
        <v>1</v>
      </c>
      <c r="D228">
        <v>1.7</v>
      </c>
      <c r="E228">
        <v>1</v>
      </c>
      <c r="G228" s="5" t="s">
        <v>36</v>
      </c>
      <c r="H228" t="s">
        <v>37</v>
      </c>
    </row>
    <row r="229" spans="1:8">
      <c r="A229" t="s">
        <v>35</v>
      </c>
      <c r="B229" t="s">
        <v>5</v>
      </c>
      <c r="C229">
        <v>1</v>
      </c>
      <c r="D229">
        <v>2</v>
      </c>
      <c r="E229">
        <v>1</v>
      </c>
      <c r="G229" s="5" t="s">
        <v>36</v>
      </c>
      <c r="H229" t="s">
        <v>37</v>
      </c>
    </row>
    <row r="230" spans="1:8">
      <c r="A230" t="s">
        <v>35</v>
      </c>
      <c r="B230" t="s">
        <v>5</v>
      </c>
      <c r="C230">
        <v>1</v>
      </c>
      <c r="D230">
        <v>1.1000000000000001</v>
      </c>
      <c r="E230">
        <v>1</v>
      </c>
      <c r="G230" s="5" t="s">
        <v>36</v>
      </c>
      <c r="H230" t="s">
        <v>37</v>
      </c>
    </row>
    <row r="231" spans="1:8">
      <c r="A231" t="s">
        <v>35</v>
      </c>
      <c r="B231" t="s">
        <v>5</v>
      </c>
      <c r="C231">
        <v>1</v>
      </c>
      <c r="D231">
        <v>1.6</v>
      </c>
      <c r="E231">
        <v>1</v>
      </c>
      <c r="G231" s="5" t="s">
        <v>36</v>
      </c>
      <c r="H231" t="s">
        <v>37</v>
      </c>
    </row>
    <row r="232" spans="1:8">
      <c r="A232" t="s">
        <v>35</v>
      </c>
      <c r="B232" t="s">
        <v>5</v>
      </c>
      <c r="C232">
        <v>1</v>
      </c>
      <c r="D232">
        <v>1.5</v>
      </c>
      <c r="E232">
        <v>1</v>
      </c>
      <c r="G232" s="5" t="s">
        <v>36</v>
      </c>
      <c r="H232" t="s">
        <v>37</v>
      </c>
    </row>
    <row r="233" spans="1:8">
      <c r="A233" t="s">
        <v>35</v>
      </c>
      <c r="B233" t="s">
        <v>5</v>
      </c>
      <c r="C233">
        <v>1</v>
      </c>
      <c r="D233">
        <v>1</v>
      </c>
      <c r="E233">
        <v>1</v>
      </c>
      <c r="G233" s="5" t="s">
        <v>36</v>
      </c>
      <c r="H233" t="s">
        <v>37</v>
      </c>
    </row>
    <row r="234" spans="1:8">
      <c r="A234" t="s">
        <v>35</v>
      </c>
      <c r="B234" t="s">
        <v>5</v>
      </c>
      <c r="C234">
        <v>1</v>
      </c>
      <c r="D234">
        <v>0.9</v>
      </c>
      <c r="E234">
        <v>1</v>
      </c>
      <c r="G234" s="5" t="s">
        <v>36</v>
      </c>
      <c r="H234" t="s">
        <v>37</v>
      </c>
    </row>
    <row r="235" spans="1:8">
      <c r="A235" t="s">
        <v>35</v>
      </c>
      <c r="B235" t="s">
        <v>5</v>
      </c>
      <c r="C235">
        <v>1</v>
      </c>
      <c r="D235">
        <v>1.2</v>
      </c>
      <c r="E235">
        <v>1</v>
      </c>
      <c r="G235" s="5" t="s">
        <v>36</v>
      </c>
      <c r="H235" t="s">
        <v>37</v>
      </c>
    </row>
    <row r="236" spans="1:8">
      <c r="A236" t="s">
        <v>35</v>
      </c>
      <c r="B236" t="s">
        <v>5</v>
      </c>
      <c r="C236">
        <v>1</v>
      </c>
      <c r="D236">
        <v>3.6</v>
      </c>
      <c r="E236">
        <v>1</v>
      </c>
      <c r="G236" s="5" t="s">
        <v>36</v>
      </c>
      <c r="H236" t="s">
        <v>37</v>
      </c>
    </row>
    <row r="237" spans="1:8">
      <c r="A237" t="s">
        <v>35</v>
      </c>
      <c r="B237" t="s">
        <v>5</v>
      </c>
      <c r="C237">
        <v>1</v>
      </c>
      <c r="D237">
        <v>2</v>
      </c>
      <c r="E237">
        <v>1</v>
      </c>
      <c r="G237" s="5" t="s">
        <v>36</v>
      </c>
      <c r="H237" t="s">
        <v>37</v>
      </c>
    </row>
    <row r="238" spans="1:8">
      <c r="A238" t="s">
        <v>35</v>
      </c>
      <c r="B238" t="s">
        <v>5</v>
      </c>
      <c r="C238">
        <v>1</v>
      </c>
      <c r="D238">
        <v>1.3</v>
      </c>
      <c r="E238">
        <v>1</v>
      </c>
      <c r="G238" s="5" t="s">
        <v>36</v>
      </c>
      <c r="H238" t="s">
        <v>37</v>
      </c>
    </row>
    <row r="239" spans="1:8">
      <c r="A239" t="s">
        <v>35</v>
      </c>
      <c r="B239" t="s">
        <v>5</v>
      </c>
      <c r="C239">
        <v>1</v>
      </c>
      <c r="D239">
        <v>2.2999999999999998</v>
      </c>
      <c r="E239">
        <v>1</v>
      </c>
      <c r="G239" s="5" t="s">
        <v>36</v>
      </c>
      <c r="H239" t="s">
        <v>37</v>
      </c>
    </row>
    <row r="240" spans="1:8">
      <c r="A240" t="s">
        <v>35</v>
      </c>
      <c r="B240" t="s">
        <v>5</v>
      </c>
      <c r="C240">
        <v>1</v>
      </c>
      <c r="D240">
        <v>3.6</v>
      </c>
      <c r="E240">
        <v>1</v>
      </c>
      <c r="G240" s="5" t="s">
        <v>36</v>
      </c>
      <c r="H240" t="s">
        <v>37</v>
      </c>
    </row>
    <row r="241" spans="1:8">
      <c r="A241" t="s">
        <v>35</v>
      </c>
      <c r="B241" t="s">
        <v>5</v>
      </c>
      <c r="C241">
        <v>1</v>
      </c>
      <c r="D241">
        <v>5</v>
      </c>
      <c r="E241">
        <v>1</v>
      </c>
      <c r="G241" s="5" t="s">
        <v>36</v>
      </c>
      <c r="H241" t="s">
        <v>37</v>
      </c>
    </row>
    <row r="242" spans="1:8">
      <c r="A242" t="s">
        <v>35</v>
      </c>
      <c r="B242" t="s">
        <v>5</v>
      </c>
      <c r="C242">
        <v>1</v>
      </c>
      <c r="D242">
        <v>2.2999999999999998</v>
      </c>
      <c r="E242">
        <v>1</v>
      </c>
      <c r="G242" s="5" t="s">
        <v>36</v>
      </c>
      <c r="H242" t="s">
        <v>37</v>
      </c>
    </row>
    <row r="243" spans="1:8">
      <c r="A243" t="s">
        <v>35</v>
      </c>
      <c r="B243" t="s">
        <v>5</v>
      </c>
      <c r="C243">
        <v>1</v>
      </c>
      <c r="D243">
        <v>1.2</v>
      </c>
      <c r="E243">
        <v>1</v>
      </c>
      <c r="G243" s="5" t="s">
        <v>36</v>
      </c>
      <c r="H243" t="s">
        <v>37</v>
      </c>
    </row>
    <row r="244" spans="1:8">
      <c r="A244" t="s">
        <v>35</v>
      </c>
      <c r="B244" t="s">
        <v>5</v>
      </c>
      <c r="C244">
        <v>1</v>
      </c>
      <c r="D244">
        <v>1.9</v>
      </c>
      <c r="E244">
        <v>1</v>
      </c>
      <c r="G244" s="5" t="s">
        <v>36</v>
      </c>
      <c r="H244" t="s">
        <v>37</v>
      </c>
    </row>
    <row r="245" spans="1:8">
      <c r="A245" t="s">
        <v>35</v>
      </c>
      <c r="B245" t="s">
        <v>5</v>
      </c>
      <c r="C245">
        <v>1</v>
      </c>
      <c r="D245">
        <v>7.2</v>
      </c>
      <c r="E245">
        <v>1</v>
      </c>
      <c r="G245" s="5" t="s">
        <v>36</v>
      </c>
      <c r="H245" t="s">
        <v>37</v>
      </c>
    </row>
    <row r="246" spans="1:8">
      <c r="A246" t="s">
        <v>35</v>
      </c>
      <c r="B246" t="s">
        <v>5</v>
      </c>
      <c r="C246">
        <v>1</v>
      </c>
      <c r="D246">
        <v>5.6</v>
      </c>
      <c r="E246">
        <v>1</v>
      </c>
      <c r="G246" s="5" t="s">
        <v>36</v>
      </c>
      <c r="H246" t="s">
        <v>37</v>
      </c>
    </row>
    <row r="247" spans="1:8">
      <c r="A247" t="s">
        <v>35</v>
      </c>
      <c r="B247" t="s">
        <v>5</v>
      </c>
      <c r="C247">
        <v>1</v>
      </c>
      <c r="D247">
        <v>3</v>
      </c>
      <c r="E247">
        <v>1</v>
      </c>
      <c r="G247" s="5" t="s">
        <v>36</v>
      </c>
      <c r="H247" t="s">
        <v>37</v>
      </c>
    </row>
    <row r="248" spans="1:8">
      <c r="A248" t="s">
        <v>35</v>
      </c>
      <c r="B248" t="s">
        <v>5</v>
      </c>
      <c r="C248">
        <v>1</v>
      </c>
      <c r="D248">
        <v>1.2</v>
      </c>
      <c r="E248">
        <v>1</v>
      </c>
      <c r="G248" s="5" t="s">
        <v>36</v>
      </c>
      <c r="H248" t="s">
        <v>37</v>
      </c>
    </row>
    <row r="249" spans="1:8">
      <c r="A249" t="s">
        <v>35</v>
      </c>
      <c r="B249" t="s">
        <v>5</v>
      </c>
      <c r="C249">
        <v>1</v>
      </c>
      <c r="D249">
        <v>1.5</v>
      </c>
      <c r="E249">
        <v>1</v>
      </c>
      <c r="G249" s="5" t="s">
        <v>36</v>
      </c>
      <c r="H249" t="s">
        <v>37</v>
      </c>
    </row>
    <row r="250" spans="1:8">
      <c r="A250" t="s">
        <v>35</v>
      </c>
      <c r="B250" t="s">
        <v>5</v>
      </c>
      <c r="C250">
        <v>1</v>
      </c>
      <c r="D250">
        <v>1.1000000000000001</v>
      </c>
      <c r="E250">
        <v>1</v>
      </c>
      <c r="G250" s="5" t="s">
        <v>36</v>
      </c>
      <c r="H250" t="s">
        <v>37</v>
      </c>
    </row>
    <row r="251" spans="1:8">
      <c r="A251" t="s">
        <v>35</v>
      </c>
      <c r="B251" t="s">
        <v>5</v>
      </c>
      <c r="C251">
        <v>1</v>
      </c>
      <c r="D251">
        <v>1.8</v>
      </c>
      <c r="E251">
        <v>1</v>
      </c>
      <c r="G251" s="5" t="s">
        <v>36</v>
      </c>
      <c r="H251" t="s">
        <v>37</v>
      </c>
    </row>
    <row r="252" spans="1:8">
      <c r="A252" t="s">
        <v>35</v>
      </c>
      <c r="B252" t="s">
        <v>5</v>
      </c>
      <c r="C252">
        <v>1</v>
      </c>
      <c r="D252">
        <v>1.3</v>
      </c>
      <c r="E252">
        <v>1</v>
      </c>
      <c r="G252" s="5" t="s">
        <v>36</v>
      </c>
      <c r="H252" t="s">
        <v>37</v>
      </c>
    </row>
    <row r="253" spans="1:8">
      <c r="A253" t="s">
        <v>35</v>
      </c>
      <c r="B253" t="s">
        <v>5</v>
      </c>
      <c r="C253">
        <v>1</v>
      </c>
      <c r="D253">
        <v>4.4000000000000004</v>
      </c>
      <c r="E253">
        <v>1</v>
      </c>
      <c r="G253" s="5" t="s">
        <v>36</v>
      </c>
      <c r="H253" t="s">
        <v>37</v>
      </c>
    </row>
    <row r="254" spans="1:8">
      <c r="A254" t="s">
        <v>35</v>
      </c>
      <c r="B254" t="s">
        <v>5</v>
      </c>
      <c r="C254">
        <v>0</v>
      </c>
      <c r="G254" s="5" t="s">
        <v>36</v>
      </c>
      <c r="H254" t="s">
        <v>37</v>
      </c>
    </row>
    <row r="255" spans="1:8">
      <c r="A255" t="s">
        <v>35</v>
      </c>
      <c r="B255" t="s">
        <v>5</v>
      </c>
      <c r="C255">
        <v>1</v>
      </c>
      <c r="D255">
        <v>2.4</v>
      </c>
      <c r="E255">
        <v>1</v>
      </c>
      <c r="G255" s="5" t="s">
        <v>36</v>
      </c>
      <c r="H255" t="s">
        <v>37</v>
      </c>
    </row>
    <row r="256" spans="1:8">
      <c r="A256" t="s">
        <v>35</v>
      </c>
      <c r="B256" t="s">
        <v>22</v>
      </c>
      <c r="C256">
        <v>1</v>
      </c>
      <c r="D256">
        <v>2.6</v>
      </c>
      <c r="E256">
        <v>1</v>
      </c>
      <c r="G256" s="5" t="s">
        <v>36</v>
      </c>
      <c r="H256" t="s">
        <v>37</v>
      </c>
    </row>
    <row r="257" spans="1:8">
      <c r="A257" t="s">
        <v>35</v>
      </c>
      <c r="B257" t="s">
        <v>15</v>
      </c>
      <c r="C257">
        <v>1</v>
      </c>
      <c r="D257">
        <v>1.2</v>
      </c>
      <c r="E257">
        <v>1</v>
      </c>
      <c r="G257" s="5" t="s">
        <v>36</v>
      </c>
      <c r="H257" t="s">
        <v>37</v>
      </c>
    </row>
    <row r="258" spans="1:8">
      <c r="A258" t="s">
        <v>35</v>
      </c>
      <c r="B258" t="s">
        <v>15</v>
      </c>
      <c r="C258">
        <v>1</v>
      </c>
      <c r="D258">
        <v>1.8</v>
      </c>
      <c r="E258">
        <v>1</v>
      </c>
      <c r="G258" s="5" t="s">
        <v>36</v>
      </c>
      <c r="H258" t="s">
        <v>37</v>
      </c>
    </row>
    <row r="259" spans="1:8">
      <c r="A259" t="s">
        <v>35</v>
      </c>
      <c r="B259" t="s">
        <v>6</v>
      </c>
      <c r="C259">
        <v>1</v>
      </c>
      <c r="D259">
        <v>3.1</v>
      </c>
      <c r="E259">
        <v>1</v>
      </c>
      <c r="G259" s="5" t="s">
        <v>36</v>
      </c>
      <c r="H259" t="s">
        <v>37</v>
      </c>
    </row>
    <row r="260" spans="1:8">
      <c r="A260" t="s">
        <v>35</v>
      </c>
      <c r="B260" t="s">
        <v>6</v>
      </c>
      <c r="C260">
        <v>1</v>
      </c>
      <c r="D260">
        <v>0.9</v>
      </c>
      <c r="E260">
        <v>1</v>
      </c>
      <c r="G260" s="5" t="s">
        <v>36</v>
      </c>
      <c r="H260" t="s">
        <v>37</v>
      </c>
    </row>
    <row r="261" spans="1:8">
      <c r="A261" t="s">
        <v>35</v>
      </c>
      <c r="B261" t="s">
        <v>6</v>
      </c>
      <c r="C261">
        <v>1</v>
      </c>
      <c r="D261">
        <v>0.6</v>
      </c>
      <c r="E261">
        <v>1</v>
      </c>
      <c r="G261" s="5" t="s">
        <v>36</v>
      </c>
      <c r="H261" t="s">
        <v>37</v>
      </c>
    </row>
    <row r="262" spans="1:8">
      <c r="A262" t="s">
        <v>35</v>
      </c>
      <c r="B262" t="s">
        <v>6</v>
      </c>
      <c r="C262">
        <v>1</v>
      </c>
      <c r="D262">
        <v>0.4</v>
      </c>
      <c r="E262">
        <v>1</v>
      </c>
      <c r="G262" s="5" t="s">
        <v>36</v>
      </c>
      <c r="H262" t="s">
        <v>37</v>
      </c>
    </row>
    <row r="263" spans="1:8">
      <c r="A263" t="s">
        <v>35</v>
      </c>
      <c r="B263" t="s">
        <v>6</v>
      </c>
      <c r="C263">
        <v>1</v>
      </c>
      <c r="D263">
        <v>0.6</v>
      </c>
      <c r="E263">
        <v>1</v>
      </c>
      <c r="G263" s="5" t="s">
        <v>36</v>
      </c>
      <c r="H263" t="s">
        <v>37</v>
      </c>
    </row>
    <row r="264" spans="1:8">
      <c r="A264" t="s">
        <v>35</v>
      </c>
      <c r="B264" t="s">
        <v>6</v>
      </c>
      <c r="C264">
        <v>1</v>
      </c>
      <c r="D264">
        <v>0.5</v>
      </c>
      <c r="E264">
        <v>1</v>
      </c>
      <c r="G264" s="5" t="s">
        <v>36</v>
      </c>
      <c r="H264" t="s">
        <v>37</v>
      </c>
    </row>
    <row r="265" spans="1:8">
      <c r="A265" t="s">
        <v>35</v>
      </c>
      <c r="B265" t="s">
        <v>6</v>
      </c>
      <c r="C265">
        <v>1</v>
      </c>
      <c r="D265">
        <v>0.7</v>
      </c>
      <c r="E265">
        <v>1</v>
      </c>
      <c r="G265" s="5" t="s">
        <v>36</v>
      </c>
      <c r="H265" t="s">
        <v>37</v>
      </c>
    </row>
    <row r="266" spans="1:8">
      <c r="A266" t="s">
        <v>35</v>
      </c>
      <c r="B266" t="s">
        <v>6</v>
      </c>
      <c r="C266">
        <v>1</v>
      </c>
      <c r="D266">
        <v>1</v>
      </c>
      <c r="E266">
        <v>1</v>
      </c>
      <c r="G266" s="5" t="s">
        <v>36</v>
      </c>
      <c r="H266" t="s">
        <v>37</v>
      </c>
    </row>
    <row r="267" spans="1:8">
      <c r="A267" t="s">
        <v>35</v>
      </c>
      <c r="B267" t="s">
        <v>6</v>
      </c>
      <c r="C267">
        <v>1</v>
      </c>
      <c r="D267">
        <v>0.6</v>
      </c>
      <c r="E267">
        <v>1</v>
      </c>
      <c r="G267" s="5" t="s">
        <v>36</v>
      </c>
      <c r="H267" t="s">
        <v>37</v>
      </c>
    </row>
    <row r="268" spans="1:8">
      <c r="A268" t="s">
        <v>35</v>
      </c>
      <c r="B268" t="s">
        <v>6</v>
      </c>
      <c r="C268">
        <v>1</v>
      </c>
      <c r="D268">
        <v>1.4</v>
      </c>
      <c r="E268">
        <v>1</v>
      </c>
      <c r="G268" s="5" t="s">
        <v>36</v>
      </c>
      <c r="H268" t="s">
        <v>37</v>
      </c>
    </row>
    <row r="269" spans="1:8">
      <c r="A269" t="s">
        <v>35</v>
      </c>
      <c r="B269" t="s">
        <v>6</v>
      </c>
      <c r="C269">
        <v>1</v>
      </c>
      <c r="D269">
        <v>1</v>
      </c>
      <c r="E269">
        <v>1</v>
      </c>
      <c r="G269" s="5" t="s">
        <v>36</v>
      </c>
      <c r="H269" t="s">
        <v>37</v>
      </c>
    </row>
    <row r="270" spans="1:8">
      <c r="A270" t="s">
        <v>35</v>
      </c>
      <c r="B270" t="s">
        <v>6</v>
      </c>
      <c r="C270">
        <v>1</v>
      </c>
      <c r="D270">
        <v>2.7</v>
      </c>
      <c r="E270">
        <v>1</v>
      </c>
      <c r="G270" s="5" t="s">
        <v>36</v>
      </c>
      <c r="H270" t="s">
        <v>37</v>
      </c>
    </row>
    <row r="271" spans="1:8">
      <c r="A271" t="s">
        <v>35</v>
      </c>
      <c r="B271" t="s">
        <v>6</v>
      </c>
      <c r="C271">
        <v>1</v>
      </c>
      <c r="D271">
        <v>2.1</v>
      </c>
      <c r="E271">
        <v>1</v>
      </c>
      <c r="G271" s="5" t="s">
        <v>36</v>
      </c>
      <c r="H271" t="s">
        <v>37</v>
      </c>
    </row>
    <row r="272" spans="1:8">
      <c r="A272" t="s">
        <v>35</v>
      </c>
      <c r="B272" t="s">
        <v>6</v>
      </c>
      <c r="C272">
        <v>1</v>
      </c>
      <c r="D272">
        <v>0.7</v>
      </c>
      <c r="E272">
        <v>1</v>
      </c>
      <c r="G272" s="5" t="s">
        <v>36</v>
      </c>
      <c r="H272" t="s">
        <v>37</v>
      </c>
    </row>
    <row r="273" spans="1:8">
      <c r="A273" t="s">
        <v>35</v>
      </c>
      <c r="B273" t="s">
        <v>6</v>
      </c>
      <c r="C273">
        <v>1</v>
      </c>
      <c r="D273">
        <v>0.7</v>
      </c>
      <c r="E273">
        <v>1</v>
      </c>
      <c r="G273" s="5" t="s">
        <v>36</v>
      </c>
      <c r="H273" t="s">
        <v>37</v>
      </c>
    </row>
    <row r="274" spans="1:8">
      <c r="A274" t="s">
        <v>35</v>
      </c>
      <c r="B274" t="s">
        <v>6</v>
      </c>
      <c r="C274">
        <v>1</v>
      </c>
      <c r="D274">
        <v>1.5</v>
      </c>
      <c r="E274">
        <v>1</v>
      </c>
      <c r="G274" s="5" t="s">
        <v>36</v>
      </c>
      <c r="H274" t="s">
        <v>37</v>
      </c>
    </row>
    <row r="275" spans="1:8">
      <c r="A275" t="s">
        <v>35</v>
      </c>
      <c r="B275" t="s">
        <v>6</v>
      </c>
      <c r="C275">
        <v>1</v>
      </c>
      <c r="D275">
        <v>2.7</v>
      </c>
      <c r="E275">
        <v>1</v>
      </c>
      <c r="G275" s="5" t="s">
        <v>36</v>
      </c>
      <c r="H275" t="s">
        <v>37</v>
      </c>
    </row>
    <row r="276" spans="1:8">
      <c r="A276" t="s">
        <v>35</v>
      </c>
      <c r="B276" t="s">
        <v>6</v>
      </c>
      <c r="C276">
        <v>1</v>
      </c>
      <c r="D276">
        <v>0.8</v>
      </c>
      <c r="E276">
        <v>1</v>
      </c>
      <c r="G276" s="5" t="s">
        <v>36</v>
      </c>
      <c r="H276" t="s">
        <v>37</v>
      </c>
    </row>
    <row r="277" spans="1:8">
      <c r="A277" t="s">
        <v>35</v>
      </c>
      <c r="B277" t="s">
        <v>6</v>
      </c>
      <c r="C277">
        <v>1</v>
      </c>
      <c r="D277">
        <v>0.4</v>
      </c>
      <c r="E277">
        <v>1</v>
      </c>
      <c r="G277" s="5" t="s">
        <v>36</v>
      </c>
      <c r="H277" t="s">
        <v>37</v>
      </c>
    </row>
    <row r="278" spans="1:8">
      <c r="A278" t="s">
        <v>35</v>
      </c>
      <c r="B278" t="s">
        <v>6</v>
      </c>
      <c r="C278">
        <v>1</v>
      </c>
      <c r="D278">
        <v>1</v>
      </c>
      <c r="E278">
        <v>1</v>
      </c>
      <c r="G278" s="5" t="s">
        <v>36</v>
      </c>
      <c r="H278" t="s">
        <v>37</v>
      </c>
    </row>
    <row r="279" spans="1:8">
      <c r="A279" t="s">
        <v>35</v>
      </c>
      <c r="B279" t="s">
        <v>6</v>
      </c>
      <c r="C279">
        <v>1</v>
      </c>
      <c r="D279">
        <v>1.1000000000000001</v>
      </c>
      <c r="E279">
        <v>1</v>
      </c>
      <c r="G279" s="5" t="s">
        <v>36</v>
      </c>
      <c r="H279" t="s">
        <v>37</v>
      </c>
    </row>
    <row r="280" spans="1:8">
      <c r="A280" t="s">
        <v>35</v>
      </c>
      <c r="B280" t="s">
        <v>6</v>
      </c>
      <c r="C280">
        <v>1</v>
      </c>
      <c r="D280">
        <v>1.4</v>
      </c>
      <c r="E280">
        <v>1</v>
      </c>
      <c r="G280" s="5" t="s">
        <v>36</v>
      </c>
      <c r="H280" t="s">
        <v>37</v>
      </c>
    </row>
    <row r="281" spans="1:8">
      <c r="A281" t="s">
        <v>35</v>
      </c>
      <c r="B281" t="s">
        <v>6</v>
      </c>
      <c r="C281">
        <v>1</v>
      </c>
      <c r="D281">
        <v>1.8</v>
      </c>
      <c r="E281">
        <v>1</v>
      </c>
      <c r="G281" s="5" t="s">
        <v>36</v>
      </c>
      <c r="H281" t="s">
        <v>37</v>
      </c>
    </row>
    <row r="282" spans="1:8">
      <c r="A282" t="s">
        <v>35</v>
      </c>
      <c r="B282" t="s">
        <v>6</v>
      </c>
      <c r="C282">
        <v>1</v>
      </c>
      <c r="D282">
        <v>1.3</v>
      </c>
      <c r="E282">
        <v>1</v>
      </c>
      <c r="G282" s="5" t="s">
        <v>36</v>
      </c>
      <c r="H282" t="s">
        <v>37</v>
      </c>
    </row>
    <row r="283" spans="1:8">
      <c r="A283" t="s">
        <v>35</v>
      </c>
      <c r="B283" t="s">
        <v>6</v>
      </c>
      <c r="C283">
        <v>1</v>
      </c>
      <c r="D283">
        <v>1.4</v>
      </c>
      <c r="E283">
        <v>1</v>
      </c>
      <c r="G283" s="5" t="s">
        <v>36</v>
      </c>
      <c r="H283" t="s">
        <v>37</v>
      </c>
    </row>
    <row r="284" spans="1:8">
      <c r="A284" t="s">
        <v>35</v>
      </c>
      <c r="B284" t="s">
        <v>6</v>
      </c>
      <c r="C284">
        <v>1</v>
      </c>
      <c r="D284">
        <v>2.2999999999999998</v>
      </c>
      <c r="E284">
        <v>1</v>
      </c>
      <c r="G284" s="5" t="s">
        <v>36</v>
      </c>
      <c r="H284" t="s">
        <v>37</v>
      </c>
    </row>
    <row r="285" spans="1:8">
      <c r="A285" t="s">
        <v>35</v>
      </c>
      <c r="B285" t="s">
        <v>6</v>
      </c>
      <c r="C285">
        <v>1</v>
      </c>
      <c r="D285">
        <v>1.9</v>
      </c>
      <c r="E285">
        <v>1</v>
      </c>
      <c r="G285" s="5" t="s">
        <v>36</v>
      </c>
      <c r="H285" t="s">
        <v>37</v>
      </c>
    </row>
    <row r="286" spans="1:8">
      <c r="A286" t="s">
        <v>35</v>
      </c>
      <c r="B286" t="s">
        <v>6</v>
      </c>
      <c r="C286">
        <v>1</v>
      </c>
      <c r="D286">
        <v>0.9</v>
      </c>
      <c r="E286">
        <v>1</v>
      </c>
      <c r="G286" s="5" t="s">
        <v>36</v>
      </c>
      <c r="H286" t="s">
        <v>37</v>
      </c>
    </row>
    <row r="287" spans="1:8">
      <c r="A287" t="s">
        <v>35</v>
      </c>
      <c r="B287" t="s">
        <v>6</v>
      </c>
      <c r="C287">
        <v>1</v>
      </c>
      <c r="D287">
        <v>1.9</v>
      </c>
      <c r="E287">
        <v>1</v>
      </c>
      <c r="G287" s="5" t="s">
        <v>36</v>
      </c>
      <c r="H287" t="s">
        <v>37</v>
      </c>
    </row>
    <row r="288" spans="1:8">
      <c r="A288" t="s">
        <v>35</v>
      </c>
      <c r="B288" t="s">
        <v>6</v>
      </c>
      <c r="C288">
        <v>1</v>
      </c>
      <c r="D288">
        <v>1.2</v>
      </c>
      <c r="E288">
        <v>1</v>
      </c>
      <c r="G288" s="5" t="s">
        <v>36</v>
      </c>
      <c r="H288" t="s">
        <v>37</v>
      </c>
    </row>
    <row r="289" spans="1:8">
      <c r="A289" t="s">
        <v>35</v>
      </c>
      <c r="B289" t="s">
        <v>6</v>
      </c>
      <c r="C289">
        <v>1</v>
      </c>
      <c r="D289">
        <v>1.3</v>
      </c>
      <c r="E289">
        <v>1</v>
      </c>
      <c r="G289" s="5" t="s">
        <v>36</v>
      </c>
      <c r="H289" t="s">
        <v>37</v>
      </c>
    </row>
    <row r="290" spans="1:8">
      <c r="A290" t="s">
        <v>35</v>
      </c>
      <c r="B290" t="s">
        <v>6</v>
      </c>
      <c r="C290">
        <v>1</v>
      </c>
      <c r="D290">
        <v>1.7</v>
      </c>
      <c r="E290">
        <v>1</v>
      </c>
      <c r="G290" s="5" t="s">
        <v>36</v>
      </c>
      <c r="H290" t="s">
        <v>37</v>
      </c>
    </row>
    <row r="291" spans="1:8">
      <c r="A291" t="s">
        <v>35</v>
      </c>
      <c r="B291" t="s">
        <v>6</v>
      </c>
      <c r="C291">
        <v>1</v>
      </c>
      <c r="D291">
        <v>1</v>
      </c>
      <c r="E291">
        <v>1</v>
      </c>
      <c r="G291" s="5" t="s">
        <v>36</v>
      </c>
      <c r="H291" t="s">
        <v>37</v>
      </c>
    </row>
    <row r="292" spans="1:8">
      <c r="A292" t="s">
        <v>35</v>
      </c>
      <c r="B292" t="s">
        <v>18</v>
      </c>
      <c r="C292">
        <v>1</v>
      </c>
      <c r="D292">
        <v>1.1000000000000001</v>
      </c>
      <c r="E292">
        <v>1</v>
      </c>
      <c r="G292" s="5" t="s">
        <v>36</v>
      </c>
      <c r="H292" t="s">
        <v>37</v>
      </c>
    </row>
    <row r="293" spans="1:8">
      <c r="A293" t="s">
        <v>35</v>
      </c>
      <c r="B293" t="s">
        <v>18</v>
      </c>
      <c r="C293">
        <v>1</v>
      </c>
      <c r="D293">
        <v>1.9</v>
      </c>
      <c r="E293">
        <v>1</v>
      </c>
      <c r="G293" s="5" t="s">
        <v>36</v>
      </c>
      <c r="H293" t="s">
        <v>37</v>
      </c>
    </row>
    <row r="294" spans="1:8">
      <c r="A294" t="s">
        <v>35</v>
      </c>
      <c r="B294" t="s">
        <v>24</v>
      </c>
      <c r="C294">
        <v>1</v>
      </c>
      <c r="D294">
        <v>1</v>
      </c>
      <c r="E294">
        <v>1</v>
      </c>
      <c r="G294" s="5" t="s">
        <v>36</v>
      </c>
      <c r="H294" t="s">
        <v>37</v>
      </c>
    </row>
    <row r="295" spans="1:8">
      <c r="A295" t="s">
        <v>35</v>
      </c>
      <c r="B295" t="s">
        <v>28</v>
      </c>
      <c r="C295">
        <v>1</v>
      </c>
      <c r="D295">
        <v>248</v>
      </c>
      <c r="E295">
        <v>1</v>
      </c>
      <c r="G295" s="5" t="s">
        <v>36</v>
      </c>
      <c r="H295" t="s">
        <v>37</v>
      </c>
    </row>
    <row r="296" spans="1:8">
      <c r="A296" t="s">
        <v>35</v>
      </c>
      <c r="B296" t="s">
        <v>27</v>
      </c>
      <c r="C296">
        <v>1</v>
      </c>
      <c r="D296">
        <v>1.2</v>
      </c>
      <c r="E296">
        <v>1</v>
      </c>
      <c r="G296" s="5" t="s">
        <v>36</v>
      </c>
      <c r="H296" t="s">
        <v>37</v>
      </c>
    </row>
    <row r="297" spans="1:8">
      <c r="A297" t="s">
        <v>35</v>
      </c>
      <c r="B297" t="s">
        <v>27</v>
      </c>
      <c r="C297">
        <v>1</v>
      </c>
      <c r="D297">
        <v>1.9</v>
      </c>
      <c r="E297">
        <v>1</v>
      </c>
      <c r="G297" s="5" t="s">
        <v>36</v>
      </c>
      <c r="H297" t="s">
        <v>37</v>
      </c>
    </row>
    <row r="298" spans="1:8">
      <c r="A298" t="s">
        <v>35</v>
      </c>
      <c r="B298" t="s">
        <v>26</v>
      </c>
      <c r="C298">
        <v>1</v>
      </c>
      <c r="D298">
        <v>1.2</v>
      </c>
      <c r="E298">
        <v>1</v>
      </c>
      <c r="G298" s="5" t="s">
        <v>36</v>
      </c>
      <c r="H298" t="s">
        <v>37</v>
      </c>
    </row>
    <row r="299" spans="1:8">
      <c r="A299" t="s">
        <v>35</v>
      </c>
      <c r="B299" t="s">
        <v>4</v>
      </c>
      <c r="C299">
        <v>1</v>
      </c>
      <c r="D299">
        <v>1.4</v>
      </c>
      <c r="E299">
        <v>1</v>
      </c>
      <c r="G299" s="5" t="s">
        <v>36</v>
      </c>
      <c r="H299" t="s">
        <v>37</v>
      </c>
    </row>
    <row r="300" spans="1:8">
      <c r="A300" t="s">
        <v>35</v>
      </c>
      <c r="B300" t="s">
        <v>4</v>
      </c>
      <c r="C300">
        <v>1</v>
      </c>
      <c r="D300">
        <v>0.9</v>
      </c>
      <c r="E300">
        <v>1</v>
      </c>
      <c r="G300" s="5" t="s">
        <v>36</v>
      </c>
      <c r="H300" t="s">
        <v>37</v>
      </c>
    </row>
    <row r="301" spans="1:8">
      <c r="A301" t="s">
        <v>35</v>
      </c>
      <c r="B301" t="s">
        <v>13</v>
      </c>
      <c r="C301">
        <v>1</v>
      </c>
      <c r="D301">
        <v>2.5</v>
      </c>
      <c r="E301">
        <v>1</v>
      </c>
      <c r="G301" s="5" t="s">
        <v>36</v>
      </c>
      <c r="H301" t="s">
        <v>37</v>
      </c>
    </row>
    <row r="302" spans="1:8">
      <c r="A302" t="s">
        <v>35</v>
      </c>
      <c r="B302" t="s">
        <v>20</v>
      </c>
      <c r="C302">
        <v>1</v>
      </c>
      <c r="D302">
        <v>3.4</v>
      </c>
      <c r="E302">
        <v>1</v>
      </c>
      <c r="G302" s="5" t="s">
        <v>36</v>
      </c>
      <c r="H302" t="s">
        <v>37</v>
      </c>
    </row>
    <row r="303" spans="1:8">
      <c r="A303" t="s">
        <v>35</v>
      </c>
      <c r="B303" t="s">
        <v>20</v>
      </c>
      <c r="C303">
        <v>1</v>
      </c>
      <c r="D303">
        <v>6.7</v>
      </c>
      <c r="E303">
        <v>1</v>
      </c>
      <c r="G303" s="5" t="s">
        <v>36</v>
      </c>
      <c r="H303" t="s">
        <v>37</v>
      </c>
    </row>
    <row r="304" spans="1:8">
      <c r="A304" t="s">
        <v>35</v>
      </c>
      <c r="B304" t="s">
        <v>20</v>
      </c>
      <c r="C304">
        <v>1</v>
      </c>
      <c r="D304">
        <v>1</v>
      </c>
      <c r="E304">
        <v>1</v>
      </c>
      <c r="G304" s="5" t="s">
        <v>36</v>
      </c>
      <c r="H304" t="s">
        <v>37</v>
      </c>
    </row>
    <row r="305" spans="1:8">
      <c r="A305" t="s">
        <v>35</v>
      </c>
      <c r="B305" t="s">
        <v>20</v>
      </c>
      <c r="C305">
        <v>1</v>
      </c>
      <c r="D305">
        <v>1.8</v>
      </c>
      <c r="E305">
        <v>1</v>
      </c>
      <c r="G305" s="5" t="s">
        <v>36</v>
      </c>
      <c r="H305" t="s">
        <v>37</v>
      </c>
    </row>
    <row r="306" spans="1:8">
      <c r="A306" t="s">
        <v>35</v>
      </c>
      <c r="B306" t="s">
        <v>20</v>
      </c>
      <c r="C306">
        <v>1</v>
      </c>
      <c r="D306">
        <v>4.2</v>
      </c>
      <c r="E306">
        <v>1</v>
      </c>
      <c r="G306" s="5" t="s">
        <v>36</v>
      </c>
      <c r="H306" t="s">
        <v>37</v>
      </c>
    </row>
    <row r="307" spans="1:8">
      <c r="A307" t="s">
        <v>35</v>
      </c>
      <c r="B307" t="s">
        <v>20</v>
      </c>
      <c r="C307">
        <v>1</v>
      </c>
      <c r="D307">
        <v>3.4</v>
      </c>
      <c r="E307">
        <v>1</v>
      </c>
      <c r="G307" s="5" t="s">
        <v>36</v>
      </c>
      <c r="H307" t="s">
        <v>37</v>
      </c>
    </row>
    <row r="308" spans="1:8">
      <c r="A308" t="s">
        <v>35</v>
      </c>
      <c r="B308" t="s">
        <v>20</v>
      </c>
      <c r="C308">
        <v>0</v>
      </c>
      <c r="G308" s="5" t="s">
        <v>36</v>
      </c>
      <c r="H308" t="s">
        <v>37</v>
      </c>
    </row>
    <row r="309" spans="1:8">
      <c r="A309" t="s">
        <v>35</v>
      </c>
      <c r="B309" t="s">
        <v>20</v>
      </c>
      <c r="C309">
        <v>0</v>
      </c>
      <c r="G309" s="5" t="s">
        <v>36</v>
      </c>
      <c r="H309" t="s">
        <v>37</v>
      </c>
    </row>
    <row r="310" spans="1:8">
      <c r="A310" t="s">
        <v>35</v>
      </c>
      <c r="B310" t="s">
        <v>20</v>
      </c>
      <c r="C310">
        <v>1</v>
      </c>
      <c r="D310">
        <v>3.5</v>
      </c>
      <c r="E310">
        <v>1</v>
      </c>
      <c r="G310" s="5" t="s">
        <v>36</v>
      </c>
      <c r="H310" t="s">
        <v>37</v>
      </c>
    </row>
    <row r="311" spans="1:8">
      <c r="A311" s="1"/>
      <c r="B311" s="1"/>
      <c r="C311" s="1"/>
      <c r="D311" s="2"/>
      <c r="E311" s="2"/>
      <c r="F311" s="1"/>
      <c r="H311" s="3"/>
    </row>
  </sheetData>
  <phoneticPr fontId="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9"/>
  <sheetViews>
    <sheetView tabSelected="1" zoomScale="85" zoomScaleNormal="85" workbookViewId="0">
      <selection activeCell="C6" sqref="C6"/>
    </sheetView>
  </sheetViews>
  <sheetFormatPr defaultRowHeight="15"/>
  <cols>
    <col min="3" max="3" width="18.85546875" customWidth="1"/>
    <col min="17" max="17" width="12.7109375" customWidth="1"/>
    <col min="18" max="18" width="24.42578125" customWidth="1"/>
    <col min="20" max="20" width="14.42578125" bestFit="1" customWidth="1"/>
  </cols>
  <sheetData>
    <row r="1" spans="1:22">
      <c r="F1" s="8" t="s">
        <v>52</v>
      </c>
      <c r="G1" s="8"/>
      <c r="H1" s="8"/>
      <c r="I1" s="8"/>
      <c r="J1" s="8"/>
      <c r="T1" t="s">
        <v>172</v>
      </c>
      <c r="V1" t="s">
        <v>173</v>
      </c>
    </row>
    <row r="2" spans="1:22">
      <c r="A2" s="1" t="s">
        <v>30</v>
      </c>
      <c r="B2" s="1" t="s">
        <v>38</v>
      </c>
      <c r="C2" s="1" t="s">
        <v>39</v>
      </c>
      <c r="D2" s="1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  <c r="L2" s="6" t="s">
        <v>48</v>
      </c>
      <c r="M2" s="6" t="s">
        <v>49</v>
      </c>
      <c r="N2" s="6" t="s">
        <v>50</v>
      </c>
      <c r="O2" s="6" t="s">
        <v>51</v>
      </c>
      <c r="P2" s="1" t="s">
        <v>31</v>
      </c>
      <c r="Q2" s="3" t="s">
        <v>32</v>
      </c>
      <c r="R2" s="1" t="s">
        <v>33</v>
      </c>
    </row>
    <row r="3" spans="1:22">
      <c r="A3" t="s">
        <v>53</v>
      </c>
      <c r="B3" t="s">
        <v>54</v>
      </c>
      <c r="C3" t="s">
        <v>55</v>
      </c>
      <c r="D3" t="s">
        <v>56</v>
      </c>
      <c r="E3" s="9" t="s">
        <v>60</v>
      </c>
      <c r="F3" s="9" t="s">
        <v>60</v>
      </c>
      <c r="G3" s="9" t="s">
        <v>60</v>
      </c>
      <c r="H3" s="9" t="s">
        <v>60</v>
      </c>
      <c r="I3" s="9">
        <v>13</v>
      </c>
      <c r="J3" s="9">
        <v>37</v>
      </c>
      <c r="K3" s="9">
        <v>14</v>
      </c>
      <c r="L3" s="9" t="s">
        <v>60</v>
      </c>
      <c r="M3" s="9" t="s">
        <v>60</v>
      </c>
      <c r="N3" s="9" t="s">
        <v>60</v>
      </c>
      <c r="O3">
        <f>SUM(I3:L3)</f>
        <v>64</v>
      </c>
      <c r="Q3" s="10">
        <v>41470</v>
      </c>
      <c r="R3" t="s">
        <v>37</v>
      </c>
      <c r="T3">
        <v>0.64</v>
      </c>
      <c r="V3">
        <v>6.4</v>
      </c>
    </row>
    <row r="4" spans="1:22">
      <c r="A4" t="s">
        <v>53</v>
      </c>
      <c r="B4" t="s">
        <v>54</v>
      </c>
      <c r="C4" t="s">
        <v>57</v>
      </c>
      <c r="E4" s="9" t="s">
        <v>60</v>
      </c>
      <c r="F4" s="9" t="s">
        <v>60</v>
      </c>
      <c r="G4" s="9" t="s">
        <v>60</v>
      </c>
      <c r="H4" s="9" t="s">
        <v>60</v>
      </c>
      <c r="I4" s="9" t="s">
        <v>60</v>
      </c>
      <c r="J4" s="9">
        <v>15</v>
      </c>
      <c r="K4" s="9" t="s">
        <v>60</v>
      </c>
      <c r="L4" s="9" t="s">
        <v>60</v>
      </c>
      <c r="M4" s="9" t="s">
        <v>60</v>
      </c>
      <c r="N4" s="9" t="s">
        <v>60</v>
      </c>
      <c r="O4">
        <v>15</v>
      </c>
      <c r="Q4" s="10">
        <v>41470</v>
      </c>
      <c r="R4" t="s">
        <v>37</v>
      </c>
      <c r="T4">
        <v>0.15</v>
      </c>
      <c r="V4">
        <v>1.5</v>
      </c>
    </row>
    <row r="5" spans="1:22">
      <c r="A5" t="s">
        <v>53</v>
      </c>
      <c r="B5" t="s">
        <v>54</v>
      </c>
      <c r="C5" t="s">
        <v>58</v>
      </c>
      <c r="D5" t="s">
        <v>59</v>
      </c>
      <c r="E5" s="9" t="s">
        <v>60</v>
      </c>
      <c r="F5" s="9" t="s">
        <v>60</v>
      </c>
      <c r="G5" s="9" t="s">
        <v>60</v>
      </c>
      <c r="H5" s="9" t="s">
        <v>60</v>
      </c>
      <c r="I5" s="9" t="s">
        <v>60</v>
      </c>
      <c r="J5" s="9" t="s">
        <v>60</v>
      </c>
      <c r="K5" s="9" t="s">
        <v>60</v>
      </c>
      <c r="L5" s="9" t="s">
        <v>60</v>
      </c>
      <c r="M5" s="9">
        <v>12</v>
      </c>
      <c r="N5" s="9">
        <v>6</v>
      </c>
      <c r="O5">
        <v>18</v>
      </c>
      <c r="Q5" s="10">
        <v>41470</v>
      </c>
      <c r="R5" t="s">
        <v>37</v>
      </c>
      <c r="T5">
        <v>0.18</v>
      </c>
      <c r="V5">
        <v>1.8</v>
      </c>
    </row>
    <row r="6" spans="1:22">
      <c r="A6" t="s">
        <v>53</v>
      </c>
      <c r="B6" t="s">
        <v>54</v>
      </c>
      <c r="C6" t="s">
        <v>61</v>
      </c>
      <c r="E6" s="9">
        <v>11</v>
      </c>
      <c r="F6" s="9">
        <v>19</v>
      </c>
      <c r="G6" s="9">
        <v>2.5</v>
      </c>
      <c r="H6" s="9">
        <v>7</v>
      </c>
      <c r="I6" s="9" t="s">
        <v>60</v>
      </c>
      <c r="J6" s="9">
        <v>12</v>
      </c>
      <c r="K6" s="9">
        <v>36</v>
      </c>
      <c r="L6" s="9">
        <v>63</v>
      </c>
      <c r="M6" s="9">
        <v>60</v>
      </c>
      <c r="N6" s="9">
        <v>41</v>
      </c>
      <c r="O6">
        <f>SUM(E6:N6)</f>
        <v>251.5</v>
      </c>
      <c r="Q6" s="10">
        <v>41470</v>
      </c>
      <c r="R6" t="s">
        <v>37</v>
      </c>
      <c r="T6">
        <v>2.5150000000000001</v>
      </c>
      <c r="V6">
        <v>25.15</v>
      </c>
    </row>
    <row r="7" spans="1:22">
      <c r="A7" t="s">
        <v>53</v>
      </c>
      <c r="B7" t="s">
        <v>54</v>
      </c>
      <c r="C7" t="s">
        <v>62</v>
      </c>
      <c r="E7" s="9">
        <v>10</v>
      </c>
      <c r="F7" s="9" t="s">
        <v>60</v>
      </c>
      <c r="G7" s="9">
        <v>4</v>
      </c>
      <c r="H7" s="9" t="s">
        <v>60</v>
      </c>
      <c r="I7" s="9">
        <v>7</v>
      </c>
      <c r="J7" s="9">
        <v>22</v>
      </c>
      <c r="K7" s="9" t="s">
        <v>60</v>
      </c>
      <c r="L7" s="9" t="s">
        <v>60</v>
      </c>
      <c r="M7" s="9" t="s">
        <v>60</v>
      </c>
      <c r="N7" s="9" t="s">
        <v>60</v>
      </c>
      <c r="O7">
        <f>SUM(E7:N7)</f>
        <v>43</v>
      </c>
      <c r="Q7" s="10">
        <v>41470</v>
      </c>
      <c r="R7" t="s">
        <v>37</v>
      </c>
      <c r="T7">
        <v>0.43</v>
      </c>
      <c r="V7">
        <v>4.3</v>
      </c>
    </row>
    <row r="8" spans="1:22">
      <c r="A8" t="s">
        <v>53</v>
      </c>
      <c r="B8" t="s">
        <v>54</v>
      </c>
      <c r="C8" t="s">
        <v>63</v>
      </c>
      <c r="E8" s="9">
        <v>31</v>
      </c>
      <c r="F8" s="9">
        <v>98</v>
      </c>
      <c r="G8" s="9">
        <v>96</v>
      </c>
      <c r="H8" s="9">
        <v>48</v>
      </c>
      <c r="I8" s="9">
        <v>79</v>
      </c>
      <c r="J8" s="9">
        <v>88</v>
      </c>
      <c r="K8" s="9">
        <v>100</v>
      </c>
      <c r="L8" s="9">
        <v>97</v>
      </c>
      <c r="M8" s="9">
        <v>98</v>
      </c>
      <c r="N8" s="9">
        <v>100</v>
      </c>
      <c r="O8">
        <f>SUM(E8:N8)</f>
        <v>835</v>
      </c>
      <c r="Q8" s="10">
        <v>41470</v>
      </c>
      <c r="R8" t="s">
        <v>37</v>
      </c>
      <c r="T8">
        <v>8.35</v>
      </c>
      <c r="V8">
        <v>83.5</v>
      </c>
    </row>
    <row r="9" spans="1:22">
      <c r="A9" t="s">
        <v>53</v>
      </c>
      <c r="B9" t="s">
        <v>54</v>
      </c>
      <c r="C9" t="s">
        <v>64</v>
      </c>
      <c r="D9" t="s">
        <v>65</v>
      </c>
      <c r="E9" s="9">
        <v>4</v>
      </c>
      <c r="F9" s="9" t="s">
        <v>60</v>
      </c>
      <c r="G9" s="9" t="s">
        <v>60</v>
      </c>
      <c r="H9" s="9" t="s">
        <v>60</v>
      </c>
      <c r="I9" s="9" t="s">
        <v>60</v>
      </c>
      <c r="J9" s="9" t="s">
        <v>60</v>
      </c>
      <c r="K9" s="9" t="s">
        <v>60</v>
      </c>
      <c r="L9" s="9" t="s">
        <v>60</v>
      </c>
      <c r="M9" s="9" t="s">
        <v>60</v>
      </c>
      <c r="N9" s="9" t="s">
        <v>60</v>
      </c>
      <c r="O9">
        <f>SUM(E9:N9)</f>
        <v>4</v>
      </c>
      <c r="Q9" s="10">
        <v>41470</v>
      </c>
      <c r="R9" t="s">
        <v>37</v>
      </c>
      <c r="T9">
        <v>0.04</v>
      </c>
      <c r="V9">
        <v>0.4</v>
      </c>
    </row>
    <row r="10" spans="1:22">
      <c r="A10" t="s">
        <v>53</v>
      </c>
      <c r="B10" t="s">
        <v>54</v>
      </c>
      <c r="C10" t="s">
        <v>66</v>
      </c>
      <c r="E10" s="9">
        <v>3</v>
      </c>
      <c r="F10" s="9" t="s">
        <v>60</v>
      </c>
      <c r="G10" s="9" t="s">
        <v>60</v>
      </c>
      <c r="H10" s="9" t="s">
        <v>60</v>
      </c>
      <c r="I10" s="9" t="s">
        <v>60</v>
      </c>
      <c r="J10" s="9">
        <v>42</v>
      </c>
      <c r="K10" s="9" t="s">
        <v>60</v>
      </c>
      <c r="L10" s="9" t="s">
        <v>60</v>
      </c>
      <c r="M10" s="9" t="s">
        <v>60</v>
      </c>
      <c r="N10" s="9" t="s">
        <v>60</v>
      </c>
      <c r="O10">
        <v>45</v>
      </c>
      <c r="Q10" s="10">
        <v>41470</v>
      </c>
      <c r="R10" t="s">
        <v>37</v>
      </c>
      <c r="T10">
        <v>0.45</v>
      </c>
      <c r="V10">
        <v>4.5</v>
      </c>
    </row>
    <row r="11" spans="1:22">
      <c r="A11" t="s">
        <v>53</v>
      </c>
      <c r="B11" t="s">
        <v>54</v>
      </c>
      <c r="C11" t="s">
        <v>67</v>
      </c>
      <c r="D11" t="s">
        <v>68</v>
      </c>
      <c r="E11" s="9" t="s">
        <v>60</v>
      </c>
      <c r="F11" s="9">
        <v>40</v>
      </c>
      <c r="G11" s="9" t="s">
        <v>60</v>
      </c>
      <c r="H11" s="9">
        <v>17</v>
      </c>
      <c r="I11" s="9">
        <v>3</v>
      </c>
      <c r="J11" s="9">
        <v>10</v>
      </c>
      <c r="K11" s="9">
        <v>67</v>
      </c>
      <c r="L11" s="9">
        <v>49</v>
      </c>
      <c r="M11" s="9" t="s">
        <v>60</v>
      </c>
      <c r="N11" s="9" t="s">
        <v>60</v>
      </c>
      <c r="O11">
        <f>SUM(F11:N11)</f>
        <v>186</v>
      </c>
      <c r="Q11" s="10">
        <v>41470</v>
      </c>
      <c r="R11" t="s">
        <v>37</v>
      </c>
      <c r="T11">
        <v>1.86</v>
      </c>
      <c r="V11">
        <v>18.600000000000001</v>
      </c>
    </row>
    <row r="12" spans="1:22">
      <c r="A12" t="s">
        <v>53</v>
      </c>
      <c r="B12" t="s">
        <v>54</v>
      </c>
      <c r="C12" t="s">
        <v>114</v>
      </c>
      <c r="D12" t="s">
        <v>115</v>
      </c>
      <c r="E12" s="9" t="s">
        <v>60</v>
      </c>
      <c r="F12" s="9">
        <v>15</v>
      </c>
      <c r="G12" s="9" t="s">
        <v>60</v>
      </c>
      <c r="H12" s="9" t="s">
        <v>60</v>
      </c>
      <c r="I12" s="9" t="s">
        <v>60</v>
      </c>
      <c r="J12" s="9" t="s">
        <v>60</v>
      </c>
      <c r="K12" s="9" t="s">
        <v>60</v>
      </c>
      <c r="L12" s="9" t="s">
        <v>60</v>
      </c>
      <c r="M12" s="9" t="s">
        <v>60</v>
      </c>
      <c r="N12" s="9" t="s">
        <v>60</v>
      </c>
      <c r="O12">
        <v>15</v>
      </c>
      <c r="Q12" s="10">
        <v>41470</v>
      </c>
      <c r="R12" t="s">
        <v>37</v>
      </c>
      <c r="T12">
        <v>0.15</v>
      </c>
      <c r="V12">
        <v>1.5</v>
      </c>
    </row>
    <row r="13" spans="1:22">
      <c r="A13" t="s">
        <v>53</v>
      </c>
      <c r="B13" t="s">
        <v>54</v>
      </c>
      <c r="C13" t="s">
        <v>69</v>
      </c>
      <c r="E13" s="9" t="s">
        <v>60</v>
      </c>
      <c r="F13" s="9">
        <v>2</v>
      </c>
      <c r="G13" s="9" t="s">
        <v>60</v>
      </c>
      <c r="H13" s="9">
        <v>62</v>
      </c>
      <c r="I13" s="9">
        <v>12</v>
      </c>
      <c r="J13" s="9" t="s">
        <v>60</v>
      </c>
      <c r="K13" s="9" t="s">
        <v>60</v>
      </c>
      <c r="L13" s="9">
        <v>3</v>
      </c>
      <c r="M13" s="9">
        <v>2</v>
      </c>
      <c r="N13" s="9" t="s">
        <v>60</v>
      </c>
      <c r="O13">
        <f>SUM(F13:N13)</f>
        <v>81</v>
      </c>
      <c r="Q13" s="10">
        <v>41470</v>
      </c>
      <c r="R13" t="s">
        <v>37</v>
      </c>
      <c r="T13">
        <v>0.81</v>
      </c>
      <c r="V13">
        <v>8.1</v>
      </c>
    </row>
    <row r="14" spans="1:22">
      <c r="A14" t="s">
        <v>53</v>
      </c>
      <c r="B14" t="s">
        <v>54</v>
      </c>
      <c r="C14" t="s">
        <v>70</v>
      </c>
      <c r="D14" t="s">
        <v>71</v>
      </c>
      <c r="E14" s="9" t="s">
        <v>60</v>
      </c>
      <c r="F14" s="9">
        <v>5</v>
      </c>
      <c r="G14" s="9" t="s">
        <v>60</v>
      </c>
      <c r="H14" s="9" t="s">
        <v>60</v>
      </c>
      <c r="I14" s="9" t="s">
        <v>60</v>
      </c>
      <c r="J14" s="9" t="s">
        <v>60</v>
      </c>
      <c r="K14" s="9" t="s">
        <v>60</v>
      </c>
      <c r="L14" s="9" t="s">
        <v>60</v>
      </c>
      <c r="M14" s="9" t="s">
        <v>60</v>
      </c>
      <c r="N14" s="9" t="s">
        <v>60</v>
      </c>
      <c r="O14">
        <v>5</v>
      </c>
      <c r="Q14" s="10">
        <v>41470</v>
      </c>
      <c r="R14" t="s">
        <v>37</v>
      </c>
      <c r="T14">
        <v>0.05</v>
      </c>
      <c r="V14">
        <v>0.5</v>
      </c>
    </row>
    <row r="15" spans="1:22">
      <c r="A15" t="s">
        <v>53</v>
      </c>
      <c r="B15" t="s">
        <v>54</v>
      </c>
      <c r="C15" t="s">
        <v>74</v>
      </c>
      <c r="D15" t="s">
        <v>75</v>
      </c>
      <c r="E15" s="9" t="s">
        <v>60</v>
      </c>
      <c r="F15" s="9" t="s">
        <v>60</v>
      </c>
      <c r="G15" s="9">
        <v>12</v>
      </c>
      <c r="H15" s="9" t="s">
        <v>60</v>
      </c>
      <c r="I15" s="9" t="s">
        <v>60</v>
      </c>
      <c r="J15" s="9" t="s">
        <v>60</v>
      </c>
      <c r="K15" s="9" t="s">
        <v>60</v>
      </c>
      <c r="L15" s="9" t="s">
        <v>60</v>
      </c>
      <c r="M15" s="9" t="s">
        <v>60</v>
      </c>
      <c r="N15" s="9" t="s">
        <v>60</v>
      </c>
      <c r="O15">
        <v>12</v>
      </c>
      <c r="Q15" s="10">
        <v>41470</v>
      </c>
      <c r="R15" t="s">
        <v>37</v>
      </c>
      <c r="T15">
        <v>0.12</v>
      </c>
      <c r="V15">
        <v>1.2</v>
      </c>
    </row>
    <row r="16" spans="1:22">
      <c r="A16" t="s">
        <v>53</v>
      </c>
      <c r="B16" t="s">
        <v>54</v>
      </c>
      <c r="C16" t="s">
        <v>72</v>
      </c>
      <c r="D16" t="s">
        <v>73</v>
      </c>
      <c r="E16" s="9" t="s">
        <v>60</v>
      </c>
      <c r="F16" s="9" t="s">
        <v>60</v>
      </c>
      <c r="G16" s="9">
        <v>4</v>
      </c>
      <c r="H16" s="9" t="s">
        <v>60</v>
      </c>
      <c r="I16" s="9" t="s">
        <v>60</v>
      </c>
      <c r="J16" s="9" t="s">
        <v>60</v>
      </c>
      <c r="K16" s="9" t="s">
        <v>60</v>
      </c>
      <c r="L16" s="9" t="s">
        <v>60</v>
      </c>
      <c r="M16" s="9" t="s">
        <v>60</v>
      </c>
      <c r="N16" s="9" t="s">
        <v>60</v>
      </c>
      <c r="O16">
        <v>4</v>
      </c>
      <c r="Q16" s="10">
        <v>41470</v>
      </c>
      <c r="R16" t="s">
        <v>37</v>
      </c>
      <c r="T16">
        <v>0.04</v>
      </c>
      <c r="V16">
        <v>0.4</v>
      </c>
    </row>
    <row r="17" spans="1:22">
      <c r="A17" t="s">
        <v>53</v>
      </c>
      <c r="B17" t="s">
        <v>54</v>
      </c>
      <c r="C17" t="s">
        <v>76</v>
      </c>
      <c r="D17" t="s">
        <v>77</v>
      </c>
      <c r="E17" s="9" t="s">
        <v>60</v>
      </c>
      <c r="F17" s="9" t="s">
        <v>60</v>
      </c>
      <c r="G17" s="9">
        <v>8</v>
      </c>
      <c r="H17" s="9" t="s">
        <v>60</v>
      </c>
      <c r="I17" s="9" t="s">
        <v>60</v>
      </c>
      <c r="J17" s="9" t="s">
        <v>60</v>
      </c>
      <c r="K17" s="9" t="s">
        <v>60</v>
      </c>
      <c r="L17" s="9" t="s">
        <v>60</v>
      </c>
      <c r="M17" s="9" t="s">
        <v>60</v>
      </c>
      <c r="N17" s="9" t="s">
        <v>60</v>
      </c>
      <c r="O17">
        <v>8</v>
      </c>
      <c r="Q17" s="10">
        <v>41470</v>
      </c>
      <c r="R17" t="s">
        <v>37</v>
      </c>
      <c r="T17">
        <v>0.08</v>
      </c>
      <c r="V17">
        <v>0.8</v>
      </c>
    </row>
    <row r="18" spans="1:22">
      <c r="A18" t="s">
        <v>53</v>
      </c>
      <c r="B18" t="s">
        <v>54</v>
      </c>
      <c r="C18" t="s">
        <v>78</v>
      </c>
      <c r="D18" t="s">
        <v>79</v>
      </c>
      <c r="E18" s="9" t="s">
        <v>60</v>
      </c>
      <c r="F18" s="9" t="s">
        <v>60</v>
      </c>
      <c r="G18" s="9">
        <v>13</v>
      </c>
      <c r="H18" s="9" t="s">
        <v>60</v>
      </c>
      <c r="I18" s="9" t="s">
        <v>60</v>
      </c>
      <c r="J18" s="9" t="s">
        <v>60</v>
      </c>
      <c r="K18" s="9" t="s">
        <v>60</v>
      </c>
      <c r="L18" s="9" t="s">
        <v>60</v>
      </c>
      <c r="M18" s="9" t="s">
        <v>60</v>
      </c>
      <c r="N18" s="9" t="s">
        <v>60</v>
      </c>
      <c r="O18">
        <v>13</v>
      </c>
      <c r="Q18" s="10">
        <v>41470</v>
      </c>
      <c r="R18" t="s">
        <v>37</v>
      </c>
      <c r="T18">
        <v>0.13</v>
      </c>
      <c r="V18">
        <v>1.3</v>
      </c>
    </row>
    <row r="19" spans="1:22">
      <c r="A19" t="s">
        <v>53</v>
      </c>
      <c r="B19" t="s">
        <v>54</v>
      </c>
      <c r="C19" t="s">
        <v>80</v>
      </c>
      <c r="D19" t="s">
        <v>81</v>
      </c>
      <c r="E19" s="9">
        <v>59</v>
      </c>
      <c r="F19" s="9" t="s">
        <v>60</v>
      </c>
      <c r="G19" s="9" t="s">
        <v>60</v>
      </c>
      <c r="H19" s="9" t="s">
        <v>60</v>
      </c>
      <c r="I19" s="9" t="s">
        <v>60</v>
      </c>
      <c r="J19" s="9" t="s">
        <v>60</v>
      </c>
      <c r="K19" s="9" t="s">
        <v>60</v>
      </c>
      <c r="L19" s="9" t="s">
        <v>60</v>
      </c>
      <c r="M19" s="9" t="s">
        <v>60</v>
      </c>
      <c r="N19" s="9" t="s">
        <v>60</v>
      </c>
      <c r="O19">
        <v>59</v>
      </c>
      <c r="Q19" s="10">
        <v>41470</v>
      </c>
      <c r="R19" t="s">
        <v>37</v>
      </c>
      <c r="T19">
        <v>0.59</v>
      </c>
      <c r="V19">
        <v>5.9</v>
      </c>
    </row>
    <row r="20" spans="1:22">
      <c r="A20" t="s">
        <v>53</v>
      </c>
      <c r="B20" t="s">
        <v>54</v>
      </c>
      <c r="C20" t="s">
        <v>82</v>
      </c>
      <c r="E20" s="9" t="s">
        <v>60</v>
      </c>
      <c r="F20" s="9" t="s">
        <v>60</v>
      </c>
      <c r="G20" s="9" t="s">
        <v>60</v>
      </c>
      <c r="H20" s="9">
        <v>68</v>
      </c>
      <c r="I20" s="9">
        <v>100</v>
      </c>
      <c r="J20" s="9" t="s">
        <v>60</v>
      </c>
      <c r="K20" s="9" t="s">
        <v>60</v>
      </c>
      <c r="L20" s="9" t="s">
        <v>60</v>
      </c>
      <c r="M20" s="9" t="s">
        <v>60</v>
      </c>
      <c r="N20" s="9" t="s">
        <v>60</v>
      </c>
      <c r="O20">
        <v>168</v>
      </c>
      <c r="Q20" s="10">
        <v>41470</v>
      </c>
      <c r="R20" t="s">
        <v>37</v>
      </c>
      <c r="T20">
        <v>1.68</v>
      </c>
      <c r="V20">
        <v>16.8</v>
      </c>
    </row>
    <row r="21" spans="1:22">
      <c r="A21" s="20" t="s">
        <v>53</v>
      </c>
      <c r="B21" s="20" t="s">
        <v>54</v>
      </c>
      <c r="C21" s="20" t="s">
        <v>83</v>
      </c>
      <c r="D21" s="20"/>
      <c r="E21" s="21" t="s">
        <v>60</v>
      </c>
      <c r="F21" s="21" t="s">
        <v>60</v>
      </c>
      <c r="G21" s="21" t="s">
        <v>60</v>
      </c>
      <c r="H21" s="21">
        <v>21</v>
      </c>
      <c r="I21" s="21">
        <v>22</v>
      </c>
      <c r="J21" s="21" t="s">
        <v>60</v>
      </c>
      <c r="K21" s="21" t="s">
        <v>60</v>
      </c>
      <c r="L21" s="21" t="s">
        <v>60</v>
      </c>
      <c r="M21" s="21" t="s">
        <v>60</v>
      </c>
      <c r="N21" s="21">
        <v>93</v>
      </c>
      <c r="O21" s="20">
        <f>SUM(H21:N21)</f>
        <v>136</v>
      </c>
      <c r="P21" s="20"/>
      <c r="Q21" s="22">
        <v>41470</v>
      </c>
      <c r="R21" s="20" t="s">
        <v>37</v>
      </c>
      <c r="S21" s="20"/>
      <c r="T21" s="20">
        <v>1.36</v>
      </c>
      <c r="U21" s="20"/>
      <c r="V21" s="20">
        <v>13.6</v>
      </c>
    </row>
    <row r="22" spans="1:22" s="20" customFormat="1">
      <c r="A22" t="s">
        <v>53</v>
      </c>
      <c r="B22" t="s">
        <v>84</v>
      </c>
      <c r="C22" t="s">
        <v>85</v>
      </c>
      <c r="D22" t="s">
        <v>225</v>
      </c>
      <c r="E22">
        <v>65</v>
      </c>
      <c r="F22">
        <v>26</v>
      </c>
      <c r="G22">
        <v>59</v>
      </c>
      <c r="H22">
        <v>19</v>
      </c>
      <c r="I22">
        <v>28</v>
      </c>
      <c r="J22">
        <v>15</v>
      </c>
      <c r="K22" s="9" t="s">
        <v>60</v>
      </c>
      <c r="L22" s="9" t="s">
        <v>60</v>
      </c>
      <c r="M22" s="9" t="s">
        <v>60</v>
      </c>
      <c r="N22">
        <v>60</v>
      </c>
      <c r="O22">
        <f t="shared" ref="O22:O40" si="0">SUM(E22:N22)</f>
        <v>272</v>
      </c>
      <c r="P22"/>
      <c r="Q22" s="10">
        <v>41470</v>
      </c>
      <c r="R22" t="s">
        <v>37</v>
      </c>
      <c r="S22"/>
      <c r="T22" s="23">
        <v>2.72</v>
      </c>
      <c r="U22"/>
      <c r="V22" s="23">
        <v>27.2</v>
      </c>
    </row>
    <row r="23" spans="1:22">
      <c r="A23" t="s">
        <v>53</v>
      </c>
      <c r="B23" t="s">
        <v>84</v>
      </c>
      <c r="C23" t="s">
        <v>61</v>
      </c>
      <c r="E23" s="9">
        <v>1</v>
      </c>
      <c r="F23" s="9" t="s">
        <v>60</v>
      </c>
      <c r="G23" s="9" t="s">
        <v>60</v>
      </c>
      <c r="H23" s="9" t="s">
        <v>60</v>
      </c>
      <c r="I23" s="9" t="s">
        <v>60</v>
      </c>
      <c r="J23" s="9" t="s">
        <v>60</v>
      </c>
      <c r="K23" s="9" t="s">
        <v>60</v>
      </c>
      <c r="L23" s="9" t="s">
        <v>60</v>
      </c>
      <c r="M23" s="9" t="s">
        <v>60</v>
      </c>
      <c r="N23" s="9" t="s">
        <v>60</v>
      </c>
      <c r="O23">
        <f t="shared" si="0"/>
        <v>1</v>
      </c>
      <c r="Q23" s="10">
        <v>41470</v>
      </c>
      <c r="R23" t="s">
        <v>37</v>
      </c>
      <c r="T23" s="23">
        <v>0.01</v>
      </c>
      <c r="V23">
        <v>0.1</v>
      </c>
    </row>
    <row r="24" spans="1:22">
      <c r="A24" t="s">
        <v>53</v>
      </c>
      <c r="B24" t="s">
        <v>84</v>
      </c>
      <c r="C24" t="s">
        <v>86</v>
      </c>
      <c r="E24" s="9" t="s">
        <v>60</v>
      </c>
      <c r="F24" s="9" t="s">
        <v>60</v>
      </c>
      <c r="G24" s="9" t="s">
        <v>60</v>
      </c>
      <c r="H24" s="9" t="s">
        <v>60</v>
      </c>
      <c r="I24" s="9" t="s">
        <v>60</v>
      </c>
      <c r="J24" s="9" t="s">
        <v>60</v>
      </c>
      <c r="K24" s="9" t="s">
        <v>60</v>
      </c>
      <c r="L24" s="9" t="s">
        <v>60</v>
      </c>
      <c r="M24" s="9" t="s">
        <v>60</v>
      </c>
      <c r="N24" s="9">
        <v>8</v>
      </c>
      <c r="O24">
        <f t="shared" si="0"/>
        <v>8</v>
      </c>
      <c r="Q24" s="10">
        <v>41470</v>
      </c>
      <c r="R24" t="s">
        <v>37</v>
      </c>
      <c r="T24" s="23">
        <v>0.08</v>
      </c>
      <c r="V24">
        <v>0.8</v>
      </c>
    </row>
    <row r="25" spans="1:22">
      <c r="A25" t="s">
        <v>53</v>
      </c>
      <c r="B25" t="s">
        <v>84</v>
      </c>
      <c r="C25" t="s">
        <v>226</v>
      </c>
      <c r="D25" t="s">
        <v>227</v>
      </c>
      <c r="E25" s="9" t="s">
        <v>60</v>
      </c>
      <c r="F25" s="9" t="s">
        <v>60</v>
      </c>
      <c r="G25" s="9" t="s">
        <v>60</v>
      </c>
      <c r="H25" s="9" t="s">
        <v>60</v>
      </c>
      <c r="I25" s="9" t="s">
        <v>60</v>
      </c>
      <c r="J25" s="9" t="s">
        <v>60</v>
      </c>
      <c r="K25" s="9" t="s">
        <v>60</v>
      </c>
      <c r="L25" s="9">
        <v>14</v>
      </c>
      <c r="M25" s="9">
        <v>52</v>
      </c>
      <c r="N25" s="9">
        <v>20</v>
      </c>
      <c r="O25">
        <f t="shared" si="0"/>
        <v>86</v>
      </c>
      <c r="Q25" s="10">
        <v>41470</v>
      </c>
      <c r="R25" t="s">
        <v>37</v>
      </c>
      <c r="T25" s="23">
        <v>0.86</v>
      </c>
      <c r="V25">
        <v>8.6</v>
      </c>
    </row>
    <row r="26" spans="1:22">
      <c r="A26" t="s">
        <v>53</v>
      </c>
      <c r="B26" t="s">
        <v>84</v>
      </c>
      <c r="C26" t="s">
        <v>228</v>
      </c>
      <c r="D26" t="s">
        <v>229</v>
      </c>
      <c r="E26" s="9" t="s">
        <v>60</v>
      </c>
      <c r="F26" s="9" t="s">
        <v>60</v>
      </c>
      <c r="G26" s="9" t="s">
        <v>60</v>
      </c>
      <c r="H26" s="9" t="s">
        <v>60</v>
      </c>
      <c r="I26" s="9" t="s">
        <v>60</v>
      </c>
      <c r="J26" s="9" t="s">
        <v>60</v>
      </c>
      <c r="K26" s="9" t="s">
        <v>60</v>
      </c>
      <c r="L26" s="9" t="s">
        <v>60</v>
      </c>
      <c r="M26" s="9">
        <v>18</v>
      </c>
      <c r="N26" s="9">
        <v>2</v>
      </c>
      <c r="O26">
        <f t="shared" si="0"/>
        <v>20</v>
      </c>
      <c r="Q26" s="10">
        <v>41470</v>
      </c>
      <c r="R26" t="s">
        <v>37</v>
      </c>
      <c r="T26" s="23">
        <v>0.2</v>
      </c>
      <c r="V26">
        <v>2</v>
      </c>
    </row>
    <row r="27" spans="1:22">
      <c r="A27" t="s">
        <v>53</v>
      </c>
      <c r="B27" t="s">
        <v>84</v>
      </c>
      <c r="C27" t="s">
        <v>62</v>
      </c>
      <c r="E27" s="9" t="s">
        <v>60</v>
      </c>
      <c r="F27" s="9">
        <v>6</v>
      </c>
      <c r="G27" s="9" t="s">
        <v>60</v>
      </c>
      <c r="H27" s="9" t="s">
        <v>60</v>
      </c>
      <c r="I27" s="9" t="s">
        <v>60</v>
      </c>
      <c r="J27" s="9">
        <v>11</v>
      </c>
      <c r="K27" s="9">
        <v>5</v>
      </c>
      <c r="L27" s="9" t="s">
        <v>60</v>
      </c>
      <c r="M27" s="9">
        <v>40</v>
      </c>
      <c r="N27" s="9">
        <v>21</v>
      </c>
      <c r="O27">
        <f t="shared" si="0"/>
        <v>83</v>
      </c>
      <c r="Q27" s="10">
        <v>41470</v>
      </c>
      <c r="R27" t="s">
        <v>37</v>
      </c>
      <c r="T27" s="23">
        <v>0.83</v>
      </c>
      <c r="V27">
        <v>8.3000000000000007</v>
      </c>
    </row>
    <row r="28" spans="1:22">
      <c r="A28" t="s">
        <v>53</v>
      </c>
      <c r="B28" t="s">
        <v>84</v>
      </c>
      <c r="C28" t="s">
        <v>63</v>
      </c>
      <c r="E28" s="9">
        <v>75</v>
      </c>
      <c r="F28" s="9">
        <v>94</v>
      </c>
      <c r="G28" s="9">
        <v>100</v>
      </c>
      <c r="H28" s="9">
        <v>100</v>
      </c>
      <c r="I28" s="9">
        <v>65</v>
      </c>
      <c r="J28" s="9">
        <v>83</v>
      </c>
      <c r="K28" s="9">
        <v>95</v>
      </c>
      <c r="L28" s="9">
        <v>100</v>
      </c>
      <c r="M28" s="9">
        <v>60</v>
      </c>
      <c r="N28" s="9">
        <v>79</v>
      </c>
      <c r="O28">
        <f t="shared" si="0"/>
        <v>851</v>
      </c>
      <c r="Q28" s="10">
        <v>41470</v>
      </c>
      <c r="R28" t="s">
        <v>37</v>
      </c>
      <c r="T28" s="23">
        <v>8.51</v>
      </c>
      <c r="V28">
        <v>85.1</v>
      </c>
    </row>
    <row r="29" spans="1:22">
      <c r="A29" t="s">
        <v>53</v>
      </c>
      <c r="B29" t="s">
        <v>84</v>
      </c>
      <c r="C29" t="s">
        <v>230</v>
      </c>
      <c r="D29" t="s">
        <v>231</v>
      </c>
      <c r="E29" s="9" t="s">
        <v>60</v>
      </c>
      <c r="F29" s="9" t="s">
        <v>60</v>
      </c>
      <c r="G29" s="9" t="s">
        <v>60</v>
      </c>
      <c r="H29" s="9" t="s">
        <v>60</v>
      </c>
      <c r="I29" s="9" t="s">
        <v>60</v>
      </c>
      <c r="J29" s="9" t="s">
        <v>60</v>
      </c>
      <c r="K29" s="9" t="s">
        <v>60</v>
      </c>
      <c r="L29" s="9" t="s">
        <v>60</v>
      </c>
      <c r="M29" s="9">
        <v>18</v>
      </c>
      <c r="N29" s="9" t="s">
        <v>60</v>
      </c>
      <c r="O29">
        <f t="shared" si="0"/>
        <v>18</v>
      </c>
      <c r="Q29" s="10">
        <v>41470</v>
      </c>
      <c r="R29" t="s">
        <v>37</v>
      </c>
      <c r="T29" s="23">
        <v>0.18</v>
      </c>
      <c r="V29">
        <v>1.8</v>
      </c>
    </row>
    <row r="30" spans="1:22">
      <c r="A30" t="s">
        <v>53</v>
      </c>
      <c r="B30" t="s">
        <v>84</v>
      </c>
      <c r="C30" t="s">
        <v>222</v>
      </c>
      <c r="D30" t="s">
        <v>232</v>
      </c>
      <c r="E30" s="9" t="s">
        <v>60</v>
      </c>
      <c r="F30" s="9" t="s">
        <v>60</v>
      </c>
      <c r="G30" s="9" t="s">
        <v>60</v>
      </c>
      <c r="H30" s="9" t="s">
        <v>60</v>
      </c>
      <c r="I30" s="9" t="s">
        <v>60</v>
      </c>
      <c r="J30" s="9" t="s">
        <v>60</v>
      </c>
      <c r="K30" s="9">
        <v>71</v>
      </c>
      <c r="L30" s="9">
        <v>80</v>
      </c>
      <c r="M30" s="9">
        <v>60</v>
      </c>
      <c r="N30" s="9" t="s">
        <v>60</v>
      </c>
      <c r="O30">
        <f t="shared" si="0"/>
        <v>211</v>
      </c>
      <c r="Q30" s="10">
        <v>41470</v>
      </c>
      <c r="R30" t="s">
        <v>37</v>
      </c>
      <c r="T30" s="23">
        <v>2.11</v>
      </c>
      <c r="V30">
        <v>21.1</v>
      </c>
    </row>
    <row r="31" spans="1:22">
      <c r="A31" t="s">
        <v>53</v>
      </c>
      <c r="B31" t="s">
        <v>84</v>
      </c>
      <c r="C31" t="s">
        <v>233</v>
      </c>
      <c r="D31" t="s">
        <v>234</v>
      </c>
      <c r="E31" s="9" t="s">
        <v>60</v>
      </c>
      <c r="F31" s="9" t="s">
        <v>60</v>
      </c>
      <c r="G31" s="9" t="s">
        <v>60</v>
      </c>
      <c r="H31" s="9" t="s">
        <v>60</v>
      </c>
      <c r="I31" s="9" t="s">
        <v>60</v>
      </c>
      <c r="J31" s="9" t="s">
        <v>60</v>
      </c>
      <c r="K31" s="9">
        <v>11</v>
      </c>
      <c r="L31" s="9" t="s">
        <v>60</v>
      </c>
      <c r="M31" s="9" t="s">
        <v>60</v>
      </c>
      <c r="N31" s="9" t="s">
        <v>60</v>
      </c>
      <c r="O31">
        <f t="shared" si="0"/>
        <v>11</v>
      </c>
      <c r="Q31" s="10">
        <v>41470</v>
      </c>
      <c r="R31" t="s">
        <v>37</v>
      </c>
      <c r="T31" s="23">
        <v>0.11</v>
      </c>
      <c r="V31">
        <v>1.1000000000000001</v>
      </c>
    </row>
    <row r="32" spans="1:22">
      <c r="A32" t="s">
        <v>53</v>
      </c>
      <c r="B32" t="s">
        <v>84</v>
      </c>
      <c r="C32" t="s">
        <v>235</v>
      </c>
      <c r="D32" t="s">
        <v>236</v>
      </c>
      <c r="E32" s="9" t="s">
        <v>60</v>
      </c>
      <c r="F32" s="9" t="s">
        <v>60</v>
      </c>
      <c r="G32" s="9" t="s">
        <v>60</v>
      </c>
      <c r="H32" s="9" t="s">
        <v>60</v>
      </c>
      <c r="I32" s="9" t="s">
        <v>60</v>
      </c>
      <c r="J32" s="9">
        <v>38</v>
      </c>
      <c r="K32" s="9" t="s">
        <v>60</v>
      </c>
      <c r="L32" s="9" t="s">
        <v>60</v>
      </c>
      <c r="M32" s="9" t="s">
        <v>60</v>
      </c>
      <c r="N32" s="9" t="s">
        <v>60</v>
      </c>
      <c r="O32">
        <f t="shared" si="0"/>
        <v>38</v>
      </c>
      <c r="Q32" s="10">
        <v>41470</v>
      </c>
      <c r="R32" t="s">
        <v>37</v>
      </c>
      <c r="T32" s="23">
        <v>0.38</v>
      </c>
      <c r="V32">
        <v>3.8</v>
      </c>
    </row>
    <row r="33" spans="1:22">
      <c r="A33" t="s">
        <v>53</v>
      </c>
      <c r="B33" t="s">
        <v>84</v>
      </c>
      <c r="C33" t="s">
        <v>237</v>
      </c>
      <c r="D33" t="s">
        <v>238</v>
      </c>
      <c r="E33" s="9" t="s">
        <v>60</v>
      </c>
      <c r="F33" s="9" t="s">
        <v>60</v>
      </c>
      <c r="G33" s="9" t="s">
        <v>60</v>
      </c>
      <c r="H33" s="9" t="s">
        <v>60</v>
      </c>
      <c r="I33" s="9">
        <v>52</v>
      </c>
      <c r="J33" s="9">
        <v>27</v>
      </c>
      <c r="K33" s="9" t="s">
        <v>60</v>
      </c>
      <c r="L33" s="9" t="s">
        <v>60</v>
      </c>
      <c r="M33" s="9" t="s">
        <v>60</v>
      </c>
      <c r="N33" s="9" t="s">
        <v>60</v>
      </c>
      <c r="O33">
        <f t="shared" si="0"/>
        <v>79</v>
      </c>
      <c r="Q33" s="10">
        <v>41470</v>
      </c>
      <c r="R33" t="s">
        <v>37</v>
      </c>
      <c r="T33" s="23">
        <v>0.79</v>
      </c>
      <c r="V33">
        <v>7.9</v>
      </c>
    </row>
    <row r="34" spans="1:22">
      <c r="A34" t="s">
        <v>53</v>
      </c>
      <c r="B34" t="s">
        <v>84</v>
      </c>
      <c r="C34" t="s">
        <v>69</v>
      </c>
      <c r="E34" s="9">
        <v>25</v>
      </c>
      <c r="F34" s="9" t="s">
        <v>60</v>
      </c>
      <c r="G34" s="9" t="s">
        <v>60</v>
      </c>
      <c r="H34" s="9" t="s">
        <v>60</v>
      </c>
      <c r="I34" s="9">
        <v>35</v>
      </c>
      <c r="J34" s="9">
        <v>5</v>
      </c>
      <c r="K34" s="9" t="s">
        <v>60</v>
      </c>
      <c r="L34" s="9" t="s">
        <v>60</v>
      </c>
      <c r="M34" s="9" t="s">
        <v>60</v>
      </c>
      <c r="N34" s="9" t="s">
        <v>60</v>
      </c>
      <c r="O34">
        <f t="shared" si="0"/>
        <v>65</v>
      </c>
      <c r="Q34" s="10">
        <v>41470</v>
      </c>
      <c r="R34" t="s">
        <v>37</v>
      </c>
      <c r="T34" s="23">
        <v>0.65</v>
      </c>
      <c r="V34">
        <v>6.5</v>
      </c>
    </row>
    <row r="35" spans="1:22">
      <c r="A35" t="s">
        <v>53</v>
      </c>
      <c r="B35" t="s">
        <v>84</v>
      </c>
      <c r="C35" t="s">
        <v>223</v>
      </c>
      <c r="D35" t="s">
        <v>224</v>
      </c>
      <c r="E35" s="9" t="s">
        <v>60</v>
      </c>
      <c r="F35" s="9" t="s">
        <v>60</v>
      </c>
      <c r="G35" s="9" t="s">
        <v>60</v>
      </c>
      <c r="H35" s="9" t="s">
        <v>60</v>
      </c>
      <c r="I35" s="9">
        <v>6</v>
      </c>
      <c r="J35" s="9" t="s">
        <v>60</v>
      </c>
      <c r="K35" s="9" t="s">
        <v>60</v>
      </c>
      <c r="L35" s="9" t="s">
        <v>60</v>
      </c>
      <c r="M35" s="9" t="s">
        <v>60</v>
      </c>
      <c r="N35" s="9" t="s">
        <v>60</v>
      </c>
      <c r="O35">
        <f t="shared" si="0"/>
        <v>6</v>
      </c>
      <c r="Q35" s="10">
        <v>41470</v>
      </c>
      <c r="R35" t="s">
        <v>37</v>
      </c>
      <c r="T35" s="23">
        <v>0.06</v>
      </c>
      <c r="V35">
        <v>0.6</v>
      </c>
    </row>
    <row r="36" spans="1:22">
      <c r="A36" t="s">
        <v>53</v>
      </c>
      <c r="B36" t="s">
        <v>84</v>
      </c>
      <c r="C36" t="s">
        <v>220</v>
      </c>
      <c r="D36" t="s">
        <v>221</v>
      </c>
      <c r="E36" s="9">
        <v>1</v>
      </c>
      <c r="F36" s="9">
        <v>5</v>
      </c>
      <c r="G36" s="9">
        <v>13</v>
      </c>
      <c r="H36" s="9" t="s">
        <v>60</v>
      </c>
      <c r="I36" s="9">
        <v>3</v>
      </c>
      <c r="J36" s="9" t="s">
        <v>60</v>
      </c>
      <c r="K36" s="9">
        <v>15</v>
      </c>
      <c r="L36" s="9">
        <v>11</v>
      </c>
      <c r="M36" s="9"/>
      <c r="N36" s="9" t="s">
        <v>60</v>
      </c>
      <c r="O36">
        <f t="shared" si="0"/>
        <v>48</v>
      </c>
      <c r="Q36" s="10">
        <v>41470</v>
      </c>
      <c r="R36" t="s">
        <v>37</v>
      </c>
      <c r="T36" s="23">
        <v>0.03</v>
      </c>
      <c r="V36">
        <v>0.3</v>
      </c>
    </row>
    <row r="37" spans="1:22">
      <c r="A37" t="s">
        <v>53</v>
      </c>
      <c r="B37" t="s">
        <v>84</v>
      </c>
      <c r="C37" t="s">
        <v>72</v>
      </c>
      <c r="D37" t="s">
        <v>73</v>
      </c>
      <c r="E37" s="9" t="s">
        <v>60</v>
      </c>
      <c r="F37" s="9" t="s">
        <v>60</v>
      </c>
      <c r="G37" s="9">
        <v>9</v>
      </c>
      <c r="H37" s="9">
        <v>8</v>
      </c>
      <c r="I37" s="9">
        <v>45</v>
      </c>
      <c r="J37" s="9" t="s">
        <v>60</v>
      </c>
      <c r="K37" s="9" t="s">
        <v>60</v>
      </c>
      <c r="L37" s="9" t="s">
        <v>60</v>
      </c>
      <c r="M37" s="9" t="s">
        <v>60</v>
      </c>
      <c r="N37" s="9" t="s">
        <v>60</v>
      </c>
      <c r="O37">
        <f t="shared" si="0"/>
        <v>62</v>
      </c>
      <c r="Q37" s="10">
        <v>41470</v>
      </c>
      <c r="R37" t="s">
        <v>37</v>
      </c>
      <c r="T37" s="23">
        <v>0.62</v>
      </c>
      <c r="V37">
        <v>6.2</v>
      </c>
    </row>
    <row r="38" spans="1:22">
      <c r="A38" t="s">
        <v>53</v>
      </c>
      <c r="B38" t="s">
        <v>84</v>
      </c>
      <c r="C38" t="s">
        <v>58</v>
      </c>
      <c r="D38" t="s">
        <v>59</v>
      </c>
      <c r="E38" s="9" t="s">
        <v>60</v>
      </c>
      <c r="F38" s="9" t="s">
        <v>60</v>
      </c>
      <c r="G38" s="9" t="s">
        <v>60</v>
      </c>
      <c r="H38" s="9">
        <v>11</v>
      </c>
      <c r="I38" s="9" t="s">
        <v>60</v>
      </c>
      <c r="J38" s="9" t="s">
        <v>60</v>
      </c>
      <c r="K38" s="9" t="s">
        <v>60</v>
      </c>
      <c r="L38" s="9" t="s">
        <v>60</v>
      </c>
      <c r="M38" s="9" t="s">
        <v>60</v>
      </c>
      <c r="N38" s="9" t="s">
        <v>60</v>
      </c>
      <c r="O38">
        <f t="shared" si="0"/>
        <v>11</v>
      </c>
      <c r="Q38" s="10">
        <v>41470</v>
      </c>
      <c r="R38" t="s">
        <v>37</v>
      </c>
      <c r="T38" s="23">
        <v>0.11</v>
      </c>
      <c r="V38">
        <v>1.1000000000000001</v>
      </c>
    </row>
    <row r="39" spans="1:22">
      <c r="A39" t="s">
        <v>53</v>
      </c>
      <c r="B39" t="s">
        <v>84</v>
      </c>
      <c r="C39" t="s">
        <v>95</v>
      </c>
      <c r="D39" t="s">
        <v>219</v>
      </c>
      <c r="E39" s="9" t="s">
        <v>60</v>
      </c>
      <c r="F39" s="9" t="s">
        <v>60</v>
      </c>
      <c r="G39" s="9">
        <v>8</v>
      </c>
      <c r="H39" s="9" t="s">
        <v>60</v>
      </c>
      <c r="I39" s="9" t="s">
        <v>60</v>
      </c>
      <c r="J39" s="9" t="s">
        <v>60</v>
      </c>
      <c r="K39" s="9" t="s">
        <v>60</v>
      </c>
      <c r="L39" s="9" t="s">
        <v>60</v>
      </c>
      <c r="M39" s="9" t="s">
        <v>60</v>
      </c>
      <c r="N39" s="9" t="s">
        <v>60</v>
      </c>
      <c r="O39">
        <f t="shared" si="0"/>
        <v>8</v>
      </c>
      <c r="Q39" s="10">
        <v>41470</v>
      </c>
      <c r="R39" t="s">
        <v>37</v>
      </c>
      <c r="T39" s="23">
        <v>0.08</v>
      </c>
      <c r="V39">
        <v>0.8</v>
      </c>
    </row>
    <row r="40" spans="1:22">
      <c r="A40" s="20" t="s">
        <v>53</v>
      </c>
      <c r="B40" s="20" t="s">
        <v>84</v>
      </c>
      <c r="C40" s="20" t="s">
        <v>239</v>
      </c>
      <c r="D40" s="20" t="s">
        <v>240</v>
      </c>
      <c r="E40" s="21">
        <v>3</v>
      </c>
      <c r="F40" s="21">
        <v>63</v>
      </c>
      <c r="G40" s="21" t="s">
        <v>60</v>
      </c>
      <c r="H40" s="21" t="s">
        <v>60</v>
      </c>
      <c r="I40" s="21" t="s">
        <v>60</v>
      </c>
      <c r="J40" s="21" t="s">
        <v>60</v>
      </c>
      <c r="K40" s="21" t="s">
        <v>60</v>
      </c>
      <c r="L40" s="21" t="s">
        <v>60</v>
      </c>
      <c r="M40" s="21" t="s">
        <v>60</v>
      </c>
      <c r="N40" s="21" t="s">
        <v>60</v>
      </c>
      <c r="O40" s="20">
        <f t="shared" si="0"/>
        <v>66</v>
      </c>
      <c r="P40" s="20"/>
      <c r="Q40" s="22">
        <v>41470</v>
      </c>
      <c r="R40" s="20" t="s">
        <v>37</v>
      </c>
      <c r="S40" s="20"/>
      <c r="T40" s="20">
        <v>0.66</v>
      </c>
      <c r="U40" s="20"/>
      <c r="V40" s="20">
        <v>6.6</v>
      </c>
    </row>
    <row r="41" spans="1:22" s="20" customFormat="1">
      <c r="A41" t="s">
        <v>53</v>
      </c>
      <c r="B41" t="s">
        <v>98</v>
      </c>
      <c r="C41" t="s">
        <v>58</v>
      </c>
      <c r="D41" t="s">
        <v>59</v>
      </c>
      <c r="E41" s="9">
        <v>7</v>
      </c>
      <c r="F41" s="9" t="s">
        <v>60</v>
      </c>
      <c r="G41" s="9" t="s">
        <v>60</v>
      </c>
      <c r="H41" s="9" t="s">
        <v>60</v>
      </c>
      <c r="I41" s="9" t="s">
        <v>60</v>
      </c>
      <c r="J41" s="9" t="s">
        <v>60</v>
      </c>
      <c r="K41" s="9" t="s">
        <v>60</v>
      </c>
      <c r="L41" s="9" t="s">
        <v>60</v>
      </c>
      <c r="M41" s="9" t="s">
        <v>60</v>
      </c>
      <c r="N41" s="9" t="s">
        <v>60</v>
      </c>
      <c r="O41" s="9">
        <v>7</v>
      </c>
      <c r="P41"/>
      <c r="Q41" s="10">
        <v>41470</v>
      </c>
      <c r="R41" t="s">
        <v>37</v>
      </c>
      <c r="S41"/>
      <c r="T41" s="23">
        <v>7.0000000000000007E-2</v>
      </c>
      <c r="U41"/>
      <c r="V41" s="23">
        <v>0.7</v>
      </c>
    </row>
    <row r="42" spans="1:22">
      <c r="A42" t="s">
        <v>53</v>
      </c>
      <c r="B42" t="s">
        <v>98</v>
      </c>
      <c r="C42" t="s">
        <v>99</v>
      </c>
      <c r="D42" t="s">
        <v>100</v>
      </c>
      <c r="E42">
        <v>10</v>
      </c>
      <c r="F42" s="9" t="s">
        <v>60</v>
      </c>
      <c r="G42" s="9" t="s">
        <v>60</v>
      </c>
      <c r="H42" s="9" t="s">
        <v>60</v>
      </c>
      <c r="I42" s="9" t="s">
        <v>60</v>
      </c>
      <c r="J42">
        <v>4</v>
      </c>
      <c r="K42" s="9" t="s">
        <v>60</v>
      </c>
      <c r="L42" s="9" t="s">
        <v>60</v>
      </c>
      <c r="M42" s="9" t="s">
        <v>60</v>
      </c>
      <c r="N42">
        <v>22</v>
      </c>
      <c r="O42">
        <f t="shared" ref="O42:O73" si="1">SUM(E42:N42)</f>
        <v>36</v>
      </c>
      <c r="Q42" s="10">
        <v>41470</v>
      </c>
      <c r="R42" t="s">
        <v>37</v>
      </c>
      <c r="T42" s="23">
        <v>0.36</v>
      </c>
      <c r="V42" s="23">
        <v>3.6</v>
      </c>
    </row>
    <row r="43" spans="1:22">
      <c r="A43" t="s">
        <v>53</v>
      </c>
      <c r="B43" t="s">
        <v>98</v>
      </c>
      <c r="C43" t="s">
        <v>67</v>
      </c>
      <c r="D43" t="s">
        <v>68</v>
      </c>
      <c r="E43" s="9">
        <v>8</v>
      </c>
      <c r="F43">
        <v>24</v>
      </c>
      <c r="G43">
        <v>15</v>
      </c>
      <c r="H43">
        <v>100</v>
      </c>
      <c r="I43">
        <v>72</v>
      </c>
      <c r="J43">
        <v>68</v>
      </c>
      <c r="K43">
        <v>100</v>
      </c>
      <c r="L43">
        <v>70</v>
      </c>
      <c r="M43">
        <v>27</v>
      </c>
      <c r="N43" s="9" t="s">
        <v>60</v>
      </c>
      <c r="O43">
        <f t="shared" si="1"/>
        <v>484</v>
      </c>
      <c r="Q43" s="10">
        <v>41470</v>
      </c>
      <c r="R43" t="s">
        <v>37</v>
      </c>
      <c r="T43" s="23">
        <v>4.84</v>
      </c>
      <c r="V43" s="23">
        <v>48.4</v>
      </c>
    </row>
    <row r="44" spans="1:22">
      <c r="A44" t="s">
        <v>53</v>
      </c>
      <c r="B44" t="s">
        <v>98</v>
      </c>
      <c r="C44" t="s">
        <v>69</v>
      </c>
      <c r="E44" s="9">
        <v>5</v>
      </c>
      <c r="F44">
        <v>9</v>
      </c>
      <c r="G44">
        <v>1</v>
      </c>
      <c r="H44">
        <v>6</v>
      </c>
      <c r="I44">
        <v>8</v>
      </c>
      <c r="J44">
        <v>13</v>
      </c>
      <c r="K44" s="9" t="s">
        <v>60</v>
      </c>
      <c r="L44" s="9" t="s">
        <v>60</v>
      </c>
      <c r="M44" s="9" t="s">
        <v>60</v>
      </c>
      <c r="N44">
        <v>8</v>
      </c>
      <c r="O44">
        <f t="shared" si="1"/>
        <v>50</v>
      </c>
      <c r="Q44" s="10">
        <v>41470</v>
      </c>
      <c r="R44" t="s">
        <v>37</v>
      </c>
      <c r="T44" s="23">
        <v>0.5</v>
      </c>
      <c r="V44" s="23">
        <v>5</v>
      </c>
    </row>
    <row r="45" spans="1:22">
      <c r="A45" t="s">
        <v>53</v>
      </c>
      <c r="B45" t="s">
        <v>98</v>
      </c>
      <c r="C45" t="s">
        <v>62</v>
      </c>
      <c r="E45" s="9">
        <v>8</v>
      </c>
      <c r="F45" t="s">
        <v>60</v>
      </c>
      <c r="G45" t="s">
        <v>60</v>
      </c>
      <c r="H45">
        <v>5</v>
      </c>
      <c r="I45">
        <v>14</v>
      </c>
      <c r="J45">
        <v>87</v>
      </c>
      <c r="K45" s="9" t="s">
        <v>60</v>
      </c>
      <c r="L45" s="9" t="s">
        <v>60</v>
      </c>
      <c r="M45">
        <v>7</v>
      </c>
      <c r="N45">
        <v>12</v>
      </c>
      <c r="O45">
        <f t="shared" si="1"/>
        <v>133</v>
      </c>
      <c r="Q45" s="10">
        <v>41470</v>
      </c>
      <c r="R45" t="s">
        <v>37</v>
      </c>
      <c r="T45" s="23">
        <v>1.33</v>
      </c>
      <c r="V45" s="23">
        <v>13.3</v>
      </c>
    </row>
    <row r="46" spans="1:22">
      <c r="A46" t="s">
        <v>53</v>
      </c>
      <c r="B46" t="s">
        <v>98</v>
      </c>
      <c r="C46" t="s">
        <v>63</v>
      </c>
      <c r="E46" s="9">
        <v>87</v>
      </c>
      <c r="F46">
        <v>91</v>
      </c>
      <c r="G46">
        <v>99</v>
      </c>
      <c r="H46">
        <v>89</v>
      </c>
      <c r="I46">
        <v>88</v>
      </c>
      <c r="J46" t="s">
        <v>60</v>
      </c>
      <c r="K46">
        <v>100</v>
      </c>
      <c r="L46">
        <v>100</v>
      </c>
      <c r="M46">
        <v>93</v>
      </c>
      <c r="N46">
        <v>80</v>
      </c>
      <c r="O46">
        <f t="shared" si="1"/>
        <v>827</v>
      </c>
      <c r="Q46" s="10">
        <v>41470</v>
      </c>
      <c r="R46" t="s">
        <v>37</v>
      </c>
      <c r="T46" s="23">
        <v>8.27</v>
      </c>
      <c r="V46" s="23">
        <v>82.7</v>
      </c>
    </row>
    <row r="47" spans="1:22">
      <c r="A47" t="s">
        <v>53</v>
      </c>
      <c r="B47" t="s">
        <v>98</v>
      </c>
      <c r="C47" t="s">
        <v>105</v>
      </c>
      <c r="D47" t="s">
        <v>104</v>
      </c>
      <c r="E47" t="s">
        <v>60</v>
      </c>
      <c r="F47">
        <v>82</v>
      </c>
      <c r="G47" t="s">
        <v>60</v>
      </c>
      <c r="H47" t="s">
        <v>60</v>
      </c>
      <c r="I47" t="s">
        <v>60</v>
      </c>
      <c r="J47" t="s">
        <v>60</v>
      </c>
      <c r="K47" t="s">
        <v>60</v>
      </c>
      <c r="L47" t="s">
        <v>60</v>
      </c>
      <c r="M47" t="s">
        <v>60</v>
      </c>
      <c r="N47" t="s">
        <v>60</v>
      </c>
      <c r="O47">
        <f t="shared" si="1"/>
        <v>82</v>
      </c>
      <c r="Q47" s="10">
        <v>41470</v>
      </c>
      <c r="R47" t="s">
        <v>37</v>
      </c>
      <c r="T47" s="23">
        <v>0.82</v>
      </c>
      <c r="V47" s="23">
        <v>8.1999999999999993</v>
      </c>
    </row>
    <row r="48" spans="1:22">
      <c r="A48" t="s">
        <v>53</v>
      </c>
      <c r="B48" t="s">
        <v>98</v>
      </c>
      <c r="C48" t="s">
        <v>101</v>
      </c>
      <c r="E48" t="s">
        <v>60</v>
      </c>
      <c r="F48">
        <v>2</v>
      </c>
      <c r="G48" t="s">
        <v>60</v>
      </c>
      <c r="H48" t="s">
        <v>60</v>
      </c>
      <c r="I48" t="s">
        <v>60</v>
      </c>
      <c r="J48" t="s">
        <v>60</v>
      </c>
      <c r="K48" t="s">
        <v>60</v>
      </c>
      <c r="L48" t="s">
        <v>60</v>
      </c>
      <c r="M48" t="s">
        <v>60</v>
      </c>
      <c r="N48" t="s">
        <v>60</v>
      </c>
      <c r="O48">
        <f t="shared" si="1"/>
        <v>2</v>
      </c>
      <c r="Q48" s="10">
        <v>41470</v>
      </c>
      <c r="R48" t="s">
        <v>37</v>
      </c>
      <c r="T48" s="23">
        <v>0.02</v>
      </c>
      <c r="V48" s="23">
        <v>0.2</v>
      </c>
    </row>
    <row r="49" spans="1:22">
      <c r="A49" t="s">
        <v>53</v>
      </c>
      <c r="B49" t="s">
        <v>98</v>
      </c>
      <c r="C49" t="s">
        <v>102</v>
      </c>
      <c r="D49" t="s">
        <v>103</v>
      </c>
      <c r="E49" t="s">
        <v>60</v>
      </c>
      <c r="F49" t="s">
        <v>60</v>
      </c>
      <c r="G49" t="s">
        <v>60</v>
      </c>
      <c r="H49">
        <v>4</v>
      </c>
      <c r="I49" t="s">
        <v>60</v>
      </c>
      <c r="J49" t="s">
        <v>60</v>
      </c>
      <c r="K49" t="s">
        <v>60</v>
      </c>
      <c r="L49" t="s">
        <v>60</v>
      </c>
      <c r="M49" t="s">
        <v>60</v>
      </c>
      <c r="N49" t="s">
        <v>60</v>
      </c>
      <c r="O49">
        <f t="shared" si="1"/>
        <v>4</v>
      </c>
      <c r="Q49" s="10">
        <v>41470</v>
      </c>
      <c r="R49" t="s">
        <v>37</v>
      </c>
      <c r="T49" s="23">
        <v>0.04</v>
      </c>
      <c r="V49" s="23">
        <v>0.4</v>
      </c>
    </row>
    <row r="50" spans="1:22">
      <c r="A50" t="s">
        <v>53</v>
      </c>
      <c r="B50" t="s">
        <v>98</v>
      </c>
      <c r="C50" t="s">
        <v>72</v>
      </c>
      <c r="D50" t="s">
        <v>73</v>
      </c>
      <c r="E50" t="s">
        <v>60</v>
      </c>
      <c r="F50" t="s">
        <v>60</v>
      </c>
      <c r="G50" t="s">
        <v>60</v>
      </c>
      <c r="H50" t="s">
        <v>60</v>
      </c>
      <c r="I50" t="s">
        <v>60</v>
      </c>
      <c r="J50" t="s">
        <v>60</v>
      </c>
      <c r="K50">
        <v>4</v>
      </c>
      <c r="L50">
        <v>6</v>
      </c>
      <c r="M50" t="s">
        <v>60</v>
      </c>
      <c r="N50" t="s">
        <v>60</v>
      </c>
      <c r="O50">
        <f t="shared" si="1"/>
        <v>10</v>
      </c>
      <c r="Q50" s="10">
        <v>41470</v>
      </c>
      <c r="R50" t="s">
        <v>37</v>
      </c>
      <c r="T50" s="23">
        <v>0.1</v>
      </c>
      <c r="V50" s="23">
        <v>1</v>
      </c>
    </row>
    <row r="51" spans="1:22">
      <c r="A51" t="s">
        <v>53</v>
      </c>
      <c r="B51" t="s">
        <v>98</v>
      </c>
      <c r="C51" t="s">
        <v>222</v>
      </c>
      <c r="D51" t="s">
        <v>221</v>
      </c>
      <c r="E51" t="s">
        <v>60</v>
      </c>
      <c r="F51" t="s">
        <v>60</v>
      </c>
      <c r="G51" t="s">
        <v>60</v>
      </c>
      <c r="H51" t="s">
        <v>60</v>
      </c>
      <c r="I51" t="s">
        <v>60</v>
      </c>
      <c r="J51" t="s">
        <v>60</v>
      </c>
      <c r="K51" t="s">
        <v>60</v>
      </c>
      <c r="L51" t="s">
        <v>60</v>
      </c>
      <c r="M51" t="s">
        <v>60</v>
      </c>
      <c r="N51">
        <v>32</v>
      </c>
      <c r="O51">
        <f t="shared" si="1"/>
        <v>32</v>
      </c>
      <c r="Q51" s="10">
        <v>41470</v>
      </c>
      <c r="R51" t="s">
        <v>37</v>
      </c>
      <c r="T51" s="23">
        <v>0.32</v>
      </c>
      <c r="V51" s="23">
        <v>3.2</v>
      </c>
    </row>
    <row r="52" spans="1:22">
      <c r="A52" s="20" t="s">
        <v>53</v>
      </c>
      <c r="B52" s="20" t="s">
        <v>98</v>
      </c>
      <c r="C52" s="20" t="s">
        <v>108</v>
      </c>
      <c r="D52" s="20" t="s">
        <v>109</v>
      </c>
      <c r="E52" s="20" t="s">
        <v>60</v>
      </c>
      <c r="F52" s="20" t="s">
        <v>60</v>
      </c>
      <c r="G52" s="20" t="s">
        <v>60</v>
      </c>
      <c r="H52" s="20" t="s">
        <v>60</v>
      </c>
      <c r="I52" s="20" t="s">
        <v>60</v>
      </c>
      <c r="J52" s="20" t="s">
        <v>60</v>
      </c>
      <c r="K52" s="20" t="s">
        <v>60</v>
      </c>
      <c r="L52" s="20" t="s">
        <v>60</v>
      </c>
      <c r="M52" s="20" t="s">
        <v>60</v>
      </c>
      <c r="N52" s="20">
        <v>32</v>
      </c>
      <c r="O52" s="20">
        <f t="shared" si="1"/>
        <v>32</v>
      </c>
      <c r="P52" s="20"/>
      <c r="Q52" s="22">
        <v>41470</v>
      </c>
      <c r="R52" s="20" t="s">
        <v>37</v>
      </c>
      <c r="S52" s="20"/>
      <c r="T52" s="20">
        <v>0.32</v>
      </c>
      <c r="U52" s="20"/>
      <c r="V52" s="20">
        <v>3.2</v>
      </c>
    </row>
    <row r="53" spans="1:22" s="20" customFormat="1">
      <c r="A53" t="s">
        <v>53</v>
      </c>
      <c r="B53" t="s">
        <v>112</v>
      </c>
      <c r="C53" t="s">
        <v>67</v>
      </c>
      <c r="D53" t="s">
        <v>68</v>
      </c>
      <c r="E53">
        <v>57</v>
      </c>
      <c r="F53">
        <v>41</v>
      </c>
      <c r="G53">
        <v>72</v>
      </c>
      <c r="H53">
        <v>1</v>
      </c>
      <c r="I53" t="s">
        <v>60</v>
      </c>
      <c r="J53" t="s">
        <v>60</v>
      </c>
      <c r="K53" t="s">
        <v>60</v>
      </c>
      <c r="L53" t="s">
        <v>60</v>
      </c>
      <c r="M53" t="s">
        <v>60</v>
      </c>
      <c r="N53">
        <v>28</v>
      </c>
      <c r="O53">
        <f t="shared" si="1"/>
        <v>199</v>
      </c>
      <c r="P53"/>
      <c r="Q53" s="10">
        <v>41470</v>
      </c>
      <c r="R53" t="s">
        <v>37</v>
      </c>
      <c r="S53"/>
      <c r="T53" s="23">
        <v>1.99</v>
      </c>
      <c r="U53"/>
      <c r="V53" s="23">
        <v>19.899999999999999</v>
      </c>
    </row>
    <row r="54" spans="1:22">
      <c r="A54" t="s">
        <v>53</v>
      </c>
      <c r="B54" t="s">
        <v>112</v>
      </c>
      <c r="C54" t="s">
        <v>110</v>
      </c>
      <c r="D54" t="s">
        <v>111</v>
      </c>
      <c r="E54" t="s">
        <v>60</v>
      </c>
      <c r="F54" t="s">
        <v>60</v>
      </c>
      <c r="G54" t="s">
        <v>60</v>
      </c>
      <c r="H54" t="s">
        <v>60</v>
      </c>
      <c r="I54">
        <v>22</v>
      </c>
      <c r="J54">
        <v>56</v>
      </c>
      <c r="K54" t="s">
        <v>60</v>
      </c>
      <c r="L54" t="s">
        <v>60</v>
      </c>
      <c r="M54">
        <v>40</v>
      </c>
      <c r="N54">
        <v>56</v>
      </c>
      <c r="O54">
        <f t="shared" si="1"/>
        <v>174</v>
      </c>
      <c r="Q54" s="10">
        <v>41470</v>
      </c>
      <c r="R54" t="s">
        <v>37</v>
      </c>
      <c r="T54" s="23">
        <v>1.74</v>
      </c>
      <c r="V54" s="23">
        <v>17.399999999999999</v>
      </c>
    </row>
    <row r="55" spans="1:22">
      <c r="A55" t="s">
        <v>53</v>
      </c>
      <c r="B55" t="s">
        <v>112</v>
      </c>
      <c r="C55" t="s">
        <v>108</v>
      </c>
      <c r="D55" t="s">
        <v>109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>
        <v>21</v>
      </c>
      <c r="O55">
        <f t="shared" si="1"/>
        <v>21</v>
      </c>
      <c r="Q55" s="10">
        <v>41470</v>
      </c>
      <c r="R55" t="s">
        <v>37</v>
      </c>
      <c r="T55" s="23">
        <v>0.21</v>
      </c>
      <c r="V55" s="23">
        <v>2.1</v>
      </c>
    </row>
    <row r="56" spans="1:22">
      <c r="A56" t="s">
        <v>53</v>
      </c>
      <c r="B56" t="s">
        <v>112</v>
      </c>
      <c r="C56" t="s">
        <v>69</v>
      </c>
      <c r="E56">
        <v>3</v>
      </c>
      <c r="F56" t="s">
        <v>60</v>
      </c>
      <c r="G56" t="s">
        <v>60</v>
      </c>
      <c r="H56" t="s">
        <v>60</v>
      </c>
      <c r="I56" t="s">
        <v>60</v>
      </c>
      <c r="J56" t="s">
        <v>60</v>
      </c>
      <c r="K56" t="s">
        <v>60</v>
      </c>
      <c r="L56" t="s">
        <v>60</v>
      </c>
      <c r="M56">
        <v>7</v>
      </c>
      <c r="N56">
        <v>16</v>
      </c>
      <c r="O56">
        <f t="shared" si="1"/>
        <v>26</v>
      </c>
      <c r="Q56" s="10">
        <v>41470</v>
      </c>
      <c r="R56" t="s">
        <v>37</v>
      </c>
      <c r="T56" s="23">
        <v>0.26</v>
      </c>
      <c r="V56" s="23">
        <v>2.6</v>
      </c>
    </row>
    <row r="57" spans="1:22">
      <c r="A57" t="s">
        <v>53</v>
      </c>
      <c r="B57" t="s">
        <v>112</v>
      </c>
      <c r="C57" t="s">
        <v>63</v>
      </c>
      <c r="E57">
        <v>97</v>
      </c>
      <c r="F57">
        <v>70</v>
      </c>
      <c r="G57">
        <v>96</v>
      </c>
      <c r="H57">
        <v>96</v>
      </c>
      <c r="I57">
        <v>91</v>
      </c>
      <c r="J57">
        <v>100</v>
      </c>
      <c r="K57">
        <v>88</v>
      </c>
      <c r="L57">
        <v>91</v>
      </c>
      <c r="M57">
        <v>82</v>
      </c>
      <c r="N57">
        <v>84</v>
      </c>
      <c r="O57">
        <f t="shared" si="1"/>
        <v>895</v>
      </c>
      <c r="Q57" s="10">
        <v>41470</v>
      </c>
      <c r="R57" t="s">
        <v>37</v>
      </c>
      <c r="T57" s="23">
        <v>8.9499999999999993</v>
      </c>
      <c r="V57" s="23">
        <v>89.5</v>
      </c>
    </row>
    <row r="58" spans="1:22">
      <c r="A58" t="s">
        <v>53</v>
      </c>
      <c r="B58" t="s">
        <v>112</v>
      </c>
      <c r="C58" t="s">
        <v>55</v>
      </c>
      <c r="D58" t="s">
        <v>56</v>
      </c>
      <c r="E58" t="s">
        <v>60</v>
      </c>
      <c r="F58" t="s">
        <v>60</v>
      </c>
      <c r="G58" t="s">
        <v>60</v>
      </c>
      <c r="H58" t="s">
        <v>60</v>
      </c>
      <c r="I58" t="s">
        <v>60</v>
      </c>
      <c r="J58" t="s">
        <v>60</v>
      </c>
      <c r="K58" t="s">
        <v>60</v>
      </c>
      <c r="L58">
        <v>36</v>
      </c>
      <c r="M58">
        <v>62</v>
      </c>
      <c r="N58" t="s">
        <v>60</v>
      </c>
      <c r="O58">
        <f t="shared" si="1"/>
        <v>98</v>
      </c>
      <c r="Q58" s="10">
        <v>41470</v>
      </c>
      <c r="R58" t="s">
        <v>37</v>
      </c>
      <c r="T58" s="23">
        <v>0.98</v>
      </c>
      <c r="V58" s="23">
        <v>9.8000000000000007</v>
      </c>
    </row>
    <row r="59" spans="1:22">
      <c r="A59" t="s">
        <v>53</v>
      </c>
      <c r="B59" t="s">
        <v>112</v>
      </c>
      <c r="C59" t="s">
        <v>62</v>
      </c>
      <c r="E59" t="s">
        <v>60</v>
      </c>
      <c r="F59" t="s">
        <v>60</v>
      </c>
      <c r="G59">
        <v>4</v>
      </c>
      <c r="H59" t="s">
        <v>60</v>
      </c>
      <c r="I59">
        <v>9</v>
      </c>
      <c r="J59" t="s">
        <v>60</v>
      </c>
      <c r="K59" t="s">
        <v>60</v>
      </c>
      <c r="L59" t="s">
        <v>60</v>
      </c>
      <c r="M59">
        <v>5</v>
      </c>
      <c r="N59" t="s">
        <v>60</v>
      </c>
      <c r="O59">
        <f t="shared" si="1"/>
        <v>18</v>
      </c>
      <c r="Q59" s="10">
        <v>41470</v>
      </c>
      <c r="R59" t="s">
        <v>37</v>
      </c>
      <c r="T59" s="23">
        <v>0.18</v>
      </c>
      <c r="V59" s="23">
        <v>1.8</v>
      </c>
    </row>
    <row r="60" spans="1:22">
      <c r="A60" t="s">
        <v>53</v>
      </c>
      <c r="B60" t="s">
        <v>112</v>
      </c>
      <c r="C60" t="s">
        <v>113</v>
      </c>
      <c r="E60" t="s">
        <v>60</v>
      </c>
      <c r="F60">
        <v>30</v>
      </c>
      <c r="G60" t="s">
        <v>60</v>
      </c>
      <c r="H60" t="s">
        <v>60</v>
      </c>
      <c r="I60" t="s">
        <v>60</v>
      </c>
      <c r="J60" t="s">
        <v>60</v>
      </c>
      <c r="K60">
        <v>22</v>
      </c>
      <c r="L60">
        <v>9</v>
      </c>
      <c r="M60" t="s">
        <v>60</v>
      </c>
      <c r="N60" t="s">
        <v>60</v>
      </c>
      <c r="O60">
        <f t="shared" si="1"/>
        <v>61</v>
      </c>
      <c r="Q60" s="10">
        <v>41470</v>
      </c>
      <c r="R60" t="s">
        <v>37</v>
      </c>
      <c r="T60" s="23">
        <v>0.61</v>
      </c>
      <c r="V60" s="23">
        <v>6.1</v>
      </c>
    </row>
    <row r="61" spans="1:22">
      <c r="A61" t="s">
        <v>53</v>
      </c>
      <c r="B61" t="s">
        <v>112</v>
      </c>
      <c r="C61" t="s">
        <v>101</v>
      </c>
      <c r="E61" t="s">
        <v>60</v>
      </c>
      <c r="F61" t="s">
        <v>60</v>
      </c>
      <c r="G61" t="s">
        <v>60</v>
      </c>
      <c r="H61" t="s">
        <v>60</v>
      </c>
      <c r="I61" t="s">
        <v>60</v>
      </c>
      <c r="J61" t="s">
        <v>60</v>
      </c>
      <c r="K61">
        <v>2</v>
      </c>
      <c r="L61" t="s">
        <v>60</v>
      </c>
      <c r="M61" t="s">
        <v>60</v>
      </c>
      <c r="N61" t="s">
        <v>60</v>
      </c>
      <c r="O61">
        <f t="shared" si="1"/>
        <v>2</v>
      </c>
      <c r="Q61" s="10">
        <v>41470</v>
      </c>
      <c r="R61" t="s">
        <v>37</v>
      </c>
      <c r="T61" s="23">
        <v>0.02</v>
      </c>
      <c r="V61" s="23">
        <v>0.2</v>
      </c>
    </row>
    <row r="62" spans="1:22">
      <c r="A62" t="s">
        <v>53</v>
      </c>
      <c r="B62" t="s">
        <v>112</v>
      </c>
      <c r="C62" t="s">
        <v>70</v>
      </c>
      <c r="D62" t="s">
        <v>71</v>
      </c>
      <c r="E62" t="s">
        <v>60</v>
      </c>
      <c r="F62" t="s">
        <v>60</v>
      </c>
      <c r="G62" t="s">
        <v>60</v>
      </c>
      <c r="H62" t="s">
        <v>60</v>
      </c>
      <c r="I62" t="s">
        <v>60</v>
      </c>
      <c r="J62">
        <v>19</v>
      </c>
      <c r="K62" t="s">
        <v>60</v>
      </c>
      <c r="L62" t="s">
        <v>60</v>
      </c>
      <c r="M62" t="s">
        <v>60</v>
      </c>
      <c r="N62" t="s">
        <v>60</v>
      </c>
      <c r="O62">
        <f t="shared" si="1"/>
        <v>19</v>
      </c>
      <c r="Q62" s="10">
        <v>41470</v>
      </c>
      <c r="R62" t="s">
        <v>37</v>
      </c>
      <c r="T62" s="23">
        <v>0.19</v>
      </c>
      <c r="V62" s="23">
        <v>1.9</v>
      </c>
    </row>
    <row r="63" spans="1:22">
      <c r="A63" t="s">
        <v>53</v>
      </c>
      <c r="B63" t="s">
        <v>112</v>
      </c>
      <c r="C63" t="s">
        <v>114</v>
      </c>
      <c r="D63" t="s">
        <v>115</v>
      </c>
      <c r="E63" t="s">
        <v>60</v>
      </c>
      <c r="F63" t="s">
        <v>60</v>
      </c>
      <c r="G63" t="s">
        <v>60</v>
      </c>
      <c r="H63" t="s">
        <v>60</v>
      </c>
      <c r="I63">
        <v>14</v>
      </c>
      <c r="J63" t="s">
        <v>60</v>
      </c>
      <c r="K63" t="s">
        <v>60</v>
      </c>
      <c r="L63" t="s">
        <v>60</v>
      </c>
      <c r="M63" t="s">
        <v>60</v>
      </c>
      <c r="N63" t="s">
        <v>60</v>
      </c>
      <c r="O63">
        <f t="shared" si="1"/>
        <v>14</v>
      </c>
      <c r="Q63" s="10">
        <v>41470</v>
      </c>
      <c r="R63" t="s">
        <v>37</v>
      </c>
      <c r="T63" s="23">
        <v>0.14000000000000001</v>
      </c>
      <c r="V63" s="23">
        <v>1.4</v>
      </c>
    </row>
    <row r="64" spans="1:22">
      <c r="A64" t="s">
        <v>53</v>
      </c>
      <c r="B64" t="s">
        <v>112</v>
      </c>
      <c r="C64" t="s">
        <v>116</v>
      </c>
      <c r="D64" t="s">
        <v>218</v>
      </c>
      <c r="E64" t="s">
        <v>60</v>
      </c>
      <c r="F64" t="s">
        <v>60</v>
      </c>
      <c r="G64" t="s">
        <v>60</v>
      </c>
      <c r="H64" t="s">
        <v>60</v>
      </c>
      <c r="I64">
        <v>9</v>
      </c>
      <c r="J64" t="s">
        <v>60</v>
      </c>
      <c r="K64" t="s">
        <v>60</v>
      </c>
      <c r="L64" t="s">
        <v>60</v>
      </c>
      <c r="M64" t="s">
        <v>60</v>
      </c>
      <c r="N64" t="s">
        <v>60</v>
      </c>
      <c r="O64">
        <f t="shared" si="1"/>
        <v>9</v>
      </c>
      <c r="Q64" s="10">
        <v>41470</v>
      </c>
      <c r="R64" t="s">
        <v>37</v>
      </c>
      <c r="T64" s="23">
        <v>0.09</v>
      </c>
      <c r="V64" s="23">
        <v>0.9</v>
      </c>
    </row>
    <row r="65" spans="1:22">
      <c r="A65" t="s">
        <v>53</v>
      </c>
      <c r="B65" t="s">
        <v>112</v>
      </c>
      <c r="C65" t="s">
        <v>117</v>
      </c>
      <c r="D65" t="s">
        <v>118</v>
      </c>
      <c r="E65" t="s">
        <v>60</v>
      </c>
      <c r="F65" t="s">
        <v>60</v>
      </c>
      <c r="G65" t="s">
        <v>60</v>
      </c>
      <c r="H65" t="s">
        <v>60</v>
      </c>
      <c r="I65">
        <v>6</v>
      </c>
      <c r="J65" t="s">
        <v>60</v>
      </c>
      <c r="K65" t="s">
        <v>60</v>
      </c>
      <c r="L65" t="s">
        <v>60</v>
      </c>
      <c r="M65" t="s">
        <v>60</v>
      </c>
      <c r="N65" t="s">
        <v>60</v>
      </c>
      <c r="O65">
        <f t="shared" si="1"/>
        <v>6</v>
      </c>
      <c r="Q65" s="10">
        <v>41470</v>
      </c>
      <c r="R65" t="s">
        <v>37</v>
      </c>
      <c r="T65" s="23">
        <v>0.06</v>
      </c>
      <c r="V65" s="23">
        <v>0.6</v>
      </c>
    </row>
    <row r="66" spans="1:22">
      <c r="A66" t="s">
        <v>53</v>
      </c>
      <c r="B66" t="s">
        <v>112</v>
      </c>
      <c r="C66" t="s">
        <v>102</v>
      </c>
      <c r="D66" t="s">
        <v>103</v>
      </c>
      <c r="E66" t="s">
        <v>60</v>
      </c>
      <c r="F66" t="s">
        <v>60</v>
      </c>
      <c r="G66" t="s">
        <v>60</v>
      </c>
      <c r="H66" t="s">
        <v>60</v>
      </c>
      <c r="I66">
        <v>18</v>
      </c>
      <c r="J66" t="s">
        <v>60</v>
      </c>
      <c r="K66" t="s">
        <v>60</v>
      </c>
      <c r="L66" t="s">
        <v>60</v>
      </c>
      <c r="M66" t="s">
        <v>60</v>
      </c>
      <c r="N66" t="s">
        <v>60</v>
      </c>
      <c r="O66">
        <f t="shared" si="1"/>
        <v>18</v>
      </c>
      <c r="Q66" s="10">
        <v>41470</v>
      </c>
      <c r="R66" t="s">
        <v>37</v>
      </c>
      <c r="T66" s="23">
        <v>0.18</v>
      </c>
      <c r="V66" s="23">
        <v>1.8</v>
      </c>
    </row>
    <row r="67" spans="1:22">
      <c r="A67" t="s">
        <v>53</v>
      </c>
      <c r="B67" t="s">
        <v>112</v>
      </c>
      <c r="C67" t="s">
        <v>119</v>
      </c>
      <c r="E67" t="s">
        <v>60</v>
      </c>
      <c r="F67" t="s">
        <v>60</v>
      </c>
      <c r="G67" t="s">
        <v>60</v>
      </c>
      <c r="H67">
        <v>4</v>
      </c>
      <c r="I67" t="s">
        <v>60</v>
      </c>
      <c r="J67" t="s">
        <v>60</v>
      </c>
      <c r="K67" t="s">
        <v>60</v>
      </c>
      <c r="L67" t="s">
        <v>60</v>
      </c>
      <c r="M67" t="s">
        <v>60</v>
      </c>
      <c r="N67" t="s">
        <v>60</v>
      </c>
      <c r="O67">
        <f t="shared" si="1"/>
        <v>4</v>
      </c>
      <c r="Q67" s="10">
        <v>41470</v>
      </c>
      <c r="R67" t="s">
        <v>37</v>
      </c>
      <c r="T67" s="23">
        <v>0.04</v>
      </c>
      <c r="V67" s="23">
        <v>0.4</v>
      </c>
    </row>
    <row r="68" spans="1:22">
      <c r="A68" t="s">
        <v>53</v>
      </c>
      <c r="B68" t="s">
        <v>112</v>
      </c>
      <c r="C68" t="s">
        <v>120</v>
      </c>
      <c r="D68" t="s">
        <v>121</v>
      </c>
      <c r="E68" t="s">
        <v>60</v>
      </c>
      <c r="F68" t="s">
        <v>60</v>
      </c>
      <c r="G68">
        <v>3</v>
      </c>
      <c r="H68" t="s">
        <v>60</v>
      </c>
      <c r="I68" t="s">
        <v>60</v>
      </c>
      <c r="J68" t="s">
        <v>60</v>
      </c>
      <c r="K68" t="s">
        <v>60</v>
      </c>
      <c r="L68" t="s">
        <v>60</v>
      </c>
      <c r="M68" t="s">
        <v>60</v>
      </c>
      <c r="N68" t="s">
        <v>60</v>
      </c>
      <c r="O68">
        <f t="shared" si="1"/>
        <v>3</v>
      </c>
      <c r="Q68" s="10">
        <v>41470</v>
      </c>
      <c r="R68" t="s">
        <v>37</v>
      </c>
      <c r="T68" s="23">
        <v>0.03</v>
      </c>
      <c r="V68" s="23">
        <v>0.3</v>
      </c>
    </row>
    <row r="69" spans="1:22">
      <c r="A69" t="s">
        <v>53</v>
      </c>
      <c r="B69" t="s">
        <v>112</v>
      </c>
      <c r="C69" t="s">
        <v>105</v>
      </c>
      <c r="D69" t="s">
        <v>104</v>
      </c>
      <c r="E69">
        <v>16</v>
      </c>
      <c r="F69">
        <v>38</v>
      </c>
      <c r="G69" t="s">
        <v>60</v>
      </c>
      <c r="H69" t="s">
        <v>60</v>
      </c>
      <c r="I69" t="s">
        <v>60</v>
      </c>
      <c r="J69" t="s">
        <v>60</v>
      </c>
      <c r="K69" t="s">
        <v>60</v>
      </c>
      <c r="L69" t="s">
        <v>60</v>
      </c>
      <c r="M69" t="s">
        <v>60</v>
      </c>
      <c r="N69" t="s">
        <v>60</v>
      </c>
      <c r="O69">
        <f t="shared" si="1"/>
        <v>54</v>
      </c>
      <c r="Q69" s="10">
        <v>41470</v>
      </c>
      <c r="R69" t="s">
        <v>37</v>
      </c>
      <c r="T69" s="23">
        <v>0.54</v>
      </c>
      <c r="V69" s="23">
        <v>5.4</v>
      </c>
    </row>
    <row r="70" spans="1:22">
      <c r="A70" t="s">
        <v>53</v>
      </c>
      <c r="B70" t="s">
        <v>112</v>
      </c>
      <c r="C70" t="s">
        <v>117</v>
      </c>
      <c r="D70" t="s">
        <v>122</v>
      </c>
      <c r="E70" t="s">
        <v>60</v>
      </c>
      <c r="F70">
        <v>8</v>
      </c>
      <c r="G70" t="s">
        <v>60</v>
      </c>
      <c r="H70" t="s">
        <v>60</v>
      </c>
      <c r="I70" t="s">
        <v>60</v>
      </c>
      <c r="J70" t="s">
        <v>60</v>
      </c>
      <c r="K70" t="s">
        <v>60</v>
      </c>
      <c r="L70" t="s">
        <v>60</v>
      </c>
      <c r="M70" t="s">
        <v>60</v>
      </c>
      <c r="N70" t="s">
        <v>60</v>
      </c>
      <c r="O70">
        <f t="shared" si="1"/>
        <v>8</v>
      </c>
      <c r="Q70" s="10">
        <v>41470</v>
      </c>
      <c r="R70" t="s">
        <v>37</v>
      </c>
      <c r="T70" s="23">
        <v>0.08</v>
      </c>
      <c r="V70" s="23">
        <v>0.8</v>
      </c>
    </row>
    <row r="71" spans="1:22">
      <c r="A71" t="s">
        <v>53</v>
      </c>
      <c r="B71" t="s">
        <v>112</v>
      </c>
      <c r="C71" t="s">
        <v>58</v>
      </c>
      <c r="D71" t="s">
        <v>59</v>
      </c>
      <c r="E71">
        <v>56</v>
      </c>
      <c r="F71" t="s">
        <v>60</v>
      </c>
      <c r="G71" t="s">
        <v>60</v>
      </c>
      <c r="H71" t="s">
        <v>60</v>
      </c>
      <c r="I71" t="s">
        <v>60</v>
      </c>
      <c r="J71" t="s">
        <v>60</v>
      </c>
      <c r="K71" t="s">
        <v>60</v>
      </c>
      <c r="L71" t="s">
        <v>60</v>
      </c>
      <c r="M71" t="s">
        <v>60</v>
      </c>
      <c r="N71" t="s">
        <v>60</v>
      </c>
      <c r="O71">
        <f t="shared" si="1"/>
        <v>56</v>
      </c>
      <c r="Q71" s="10">
        <v>41470</v>
      </c>
      <c r="R71" t="s">
        <v>37</v>
      </c>
      <c r="T71" s="23">
        <v>0.56000000000000005</v>
      </c>
      <c r="V71" s="23">
        <v>5.6</v>
      </c>
    </row>
    <row r="72" spans="1:22">
      <c r="A72" t="s">
        <v>53</v>
      </c>
      <c r="B72" t="s">
        <v>112</v>
      </c>
      <c r="C72" t="s">
        <v>123</v>
      </c>
      <c r="D72" t="s">
        <v>124</v>
      </c>
      <c r="E72">
        <v>10</v>
      </c>
      <c r="F72" t="s">
        <v>60</v>
      </c>
      <c r="G72" t="s">
        <v>60</v>
      </c>
      <c r="H72" t="s">
        <v>60</v>
      </c>
      <c r="I72" t="s">
        <v>60</v>
      </c>
      <c r="J72" t="s">
        <v>60</v>
      </c>
      <c r="K72" t="s">
        <v>60</v>
      </c>
      <c r="L72" t="s">
        <v>60</v>
      </c>
      <c r="M72" t="s">
        <v>60</v>
      </c>
      <c r="N72" t="s">
        <v>60</v>
      </c>
      <c r="O72">
        <f t="shared" si="1"/>
        <v>10</v>
      </c>
      <c r="Q72" s="10">
        <v>41470</v>
      </c>
      <c r="R72" t="s">
        <v>37</v>
      </c>
      <c r="T72" s="23">
        <v>0.1</v>
      </c>
      <c r="V72" s="23">
        <v>1</v>
      </c>
    </row>
    <row r="73" spans="1:22">
      <c r="A73" t="s">
        <v>35</v>
      </c>
      <c r="B73" t="s">
        <v>112</v>
      </c>
      <c r="C73" t="s">
        <v>99</v>
      </c>
      <c r="D73" t="s">
        <v>100</v>
      </c>
      <c r="E73">
        <v>21</v>
      </c>
      <c r="F73">
        <v>8</v>
      </c>
      <c r="G73" t="s">
        <v>60</v>
      </c>
      <c r="H73" t="s">
        <v>60</v>
      </c>
      <c r="I73" t="s">
        <v>60</v>
      </c>
      <c r="J73" t="s">
        <v>60</v>
      </c>
      <c r="K73" t="s">
        <v>60</v>
      </c>
      <c r="L73" t="s">
        <v>60</v>
      </c>
      <c r="M73" t="s">
        <v>60</v>
      </c>
      <c r="N73" t="s">
        <v>60</v>
      </c>
      <c r="O73">
        <f t="shared" si="1"/>
        <v>29</v>
      </c>
      <c r="Q73" s="10">
        <v>41470</v>
      </c>
      <c r="R73" t="s">
        <v>37</v>
      </c>
      <c r="T73" s="23">
        <v>0.28999999999999998</v>
      </c>
      <c r="V73" s="23">
        <v>2.9</v>
      </c>
    </row>
    <row r="76" spans="1:22">
      <c r="N76" s="23"/>
      <c r="O76" s="23"/>
    </row>
    <row r="77" spans="1:22">
      <c r="N77" s="23"/>
      <c r="O77" s="23"/>
      <c r="Q77" s="23"/>
    </row>
    <row r="78" spans="1:22">
      <c r="N78" s="23"/>
      <c r="Q78" s="23"/>
    </row>
    <row r="79" spans="1:22">
      <c r="Q79" s="23"/>
    </row>
  </sheetData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B19" sqref="B19"/>
    </sheetView>
  </sheetViews>
  <sheetFormatPr defaultRowHeight="15"/>
  <cols>
    <col min="1" max="1" width="10.42578125" customWidth="1"/>
    <col min="2" max="2" width="17.5703125" customWidth="1"/>
    <col min="4" max="4" width="9.7109375" bestFit="1" customWidth="1"/>
    <col min="5" max="5" width="24.140625" customWidth="1"/>
  </cols>
  <sheetData>
    <row r="1" spans="1:5">
      <c r="A1" s="1" t="s">
        <v>30</v>
      </c>
      <c r="B1" s="34" t="s">
        <v>177</v>
      </c>
      <c r="C1" s="11"/>
      <c r="D1" s="3" t="s">
        <v>32</v>
      </c>
      <c r="E1" s="1" t="s">
        <v>125</v>
      </c>
    </row>
    <row r="2" spans="1:5">
      <c r="A2" t="s">
        <v>35</v>
      </c>
      <c r="B2" t="s">
        <v>126</v>
      </c>
      <c r="D2" s="10">
        <v>41472</v>
      </c>
      <c r="E2" t="s">
        <v>37</v>
      </c>
    </row>
    <row r="3" spans="1:5">
      <c r="A3" t="s">
        <v>35</v>
      </c>
      <c r="B3" t="s">
        <v>217</v>
      </c>
      <c r="D3" s="10">
        <v>41472</v>
      </c>
      <c r="E3" t="s">
        <v>37</v>
      </c>
    </row>
    <row r="4" spans="1:5">
      <c r="A4" t="s">
        <v>35</v>
      </c>
      <c r="B4" t="s">
        <v>127</v>
      </c>
      <c r="D4" s="10">
        <v>41472</v>
      </c>
      <c r="E4" t="s">
        <v>37</v>
      </c>
    </row>
    <row r="5" spans="1:5">
      <c r="A5" t="s">
        <v>35</v>
      </c>
      <c r="B5" t="s">
        <v>128</v>
      </c>
      <c r="D5" s="10">
        <v>41472</v>
      </c>
      <c r="E5" t="s">
        <v>37</v>
      </c>
    </row>
    <row r="6" spans="1:5">
      <c r="A6" t="s">
        <v>35</v>
      </c>
      <c r="B6" t="s">
        <v>129</v>
      </c>
      <c r="C6" t="s">
        <v>130</v>
      </c>
      <c r="D6" s="10">
        <v>41472</v>
      </c>
      <c r="E6" t="s">
        <v>37</v>
      </c>
    </row>
    <row r="7" spans="1:5">
      <c r="A7" t="s">
        <v>35</v>
      </c>
      <c r="B7" t="s">
        <v>129</v>
      </c>
      <c r="C7" t="s">
        <v>131</v>
      </c>
      <c r="D7" s="10">
        <v>41472</v>
      </c>
      <c r="E7" t="s">
        <v>37</v>
      </c>
    </row>
    <row r="8" spans="1:5">
      <c r="A8" t="s">
        <v>35</v>
      </c>
      <c r="B8" t="s">
        <v>129</v>
      </c>
      <c r="C8" t="s">
        <v>131</v>
      </c>
      <c r="D8" s="10">
        <v>41472</v>
      </c>
      <c r="E8" t="s">
        <v>37</v>
      </c>
    </row>
    <row r="9" spans="1:5">
      <c r="A9" t="s">
        <v>35</v>
      </c>
      <c r="B9" t="s">
        <v>128</v>
      </c>
      <c r="D9" s="10">
        <v>41472</v>
      </c>
      <c r="E9" t="s">
        <v>37</v>
      </c>
    </row>
    <row r="10" spans="1:5">
      <c r="A10" t="s">
        <v>35</v>
      </c>
      <c r="B10" t="s">
        <v>129</v>
      </c>
      <c r="C10" t="s">
        <v>130</v>
      </c>
      <c r="D10" s="10">
        <v>41472</v>
      </c>
      <c r="E10" t="s">
        <v>37</v>
      </c>
    </row>
  </sheetData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"/>
  <sheetViews>
    <sheetView workbookViewId="0">
      <selection sqref="A1:IV1"/>
    </sheetView>
  </sheetViews>
  <sheetFormatPr defaultRowHeight="15"/>
  <cols>
    <col min="13" max="13" width="11.140625" customWidth="1"/>
    <col min="24" max="24" width="24.42578125" bestFit="1" customWidth="1"/>
    <col min="33" max="33" width="9.7109375" bestFit="1" customWidth="1"/>
    <col min="34" max="34" width="22.85546875" customWidth="1"/>
  </cols>
  <sheetData>
    <row r="1" spans="1:34">
      <c r="A1" s="7"/>
      <c r="B1" s="12" t="s">
        <v>132</v>
      </c>
      <c r="C1" s="12"/>
      <c r="D1" s="12"/>
      <c r="E1" s="12"/>
      <c r="F1" s="12"/>
      <c r="G1" s="12"/>
      <c r="H1" s="12"/>
      <c r="I1" s="13" t="s">
        <v>133</v>
      </c>
      <c r="J1" s="13"/>
      <c r="K1" s="13"/>
      <c r="L1" s="13"/>
      <c r="M1" s="13"/>
      <c r="N1" s="14" t="s">
        <v>134</v>
      </c>
      <c r="O1" s="14"/>
      <c r="P1" s="14"/>
      <c r="Q1" s="14"/>
      <c r="R1" s="14"/>
      <c r="S1" s="14"/>
      <c r="T1" s="14"/>
      <c r="U1" s="15" t="s">
        <v>135</v>
      </c>
      <c r="V1" s="15"/>
      <c r="W1" s="15"/>
      <c r="X1" s="16" t="s">
        <v>136</v>
      </c>
      <c r="Y1" s="17" t="s">
        <v>137</v>
      </c>
      <c r="Z1" s="17"/>
      <c r="AA1" s="17"/>
      <c r="AB1" s="17"/>
      <c r="AC1" s="17"/>
      <c r="AD1" s="17"/>
      <c r="AE1" s="17"/>
      <c r="AF1" s="17"/>
      <c r="AG1" s="7"/>
      <c r="AH1" s="7"/>
    </row>
    <row r="2" spans="1:34">
      <c r="A2" s="1" t="s">
        <v>30</v>
      </c>
      <c r="B2" s="18" t="s">
        <v>138</v>
      </c>
      <c r="C2" s="18" t="s">
        <v>139</v>
      </c>
      <c r="D2" s="18" t="s">
        <v>140</v>
      </c>
      <c r="E2" s="18" t="s">
        <v>141</v>
      </c>
      <c r="F2" s="18" t="s">
        <v>142</v>
      </c>
      <c r="G2" s="18" t="s">
        <v>143</v>
      </c>
      <c r="H2" s="18" t="s">
        <v>144</v>
      </c>
      <c r="I2" s="1" t="s">
        <v>146</v>
      </c>
      <c r="J2" s="1" t="s">
        <v>147</v>
      </c>
      <c r="K2" s="1" t="s">
        <v>148</v>
      </c>
      <c r="L2" s="1" t="s">
        <v>149</v>
      </c>
      <c r="M2" s="1" t="s">
        <v>150</v>
      </c>
      <c r="N2" s="1" t="s">
        <v>151</v>
      </c>
      <c r="O2" s="1" t="s">
        <v>152</v>
      </c>
      <c r="P2" s="1" t="s">
        <v>150</v>
      </c>
      <c r="Q2" s="1" t="s">
        <v>153</v>
      </c>
      <c r="R2" s="1" t="s">
        <v>154</v>
      </c>
      <c r="S2" s="1" t="s">
        <v>155</v>
      </c>
      <c r="T2" s="1" t="s">
        <v>156</v>
      </c>
      <c r="U2" s="1" t="s">
        <v>157</v>
      </c>
      <c r="V2" s="1" t="s">
        <v>158</v>
      </c>
      <c r="W2" s="1" t="s">
        <v>159</v>
      </c>
      <c r="X2" s="1" t="s">
        <v>160</v>
      </c>
      <c r="Y2" s="1" t="s">
        <v>161</v>
      </c>
      <c r="Z2" s="1" t="s">
        <v>153</v>
      </c>
      <c r="AA2" s="1" t="s">
        <v>154</v>
      </c>
      <c r="AB2" s="1" t="s">
        <v>162</v>
      </c>
      <c r="AC2" s="1" t="s">
        <v>163</v>
      </c>
      <c r="AD2" s="1" t="s">
        <v>164</v>
      </c>
      <c r="AE2" s="1" t="s">
        <v>165</v>
      </c>
      <c r="AF2" s="1" t="s">
        <v>145</v>
      </c>
      <c r="AG2" s="1" t="s">
        <v>32</v>
      </c>
      <c r="AH2" s="1" t="s">
        <v>33</v>
      </c>
    </row>
    <row r="3" spans="1:34">
      <c r="A3" t="s">
        <v>35</v>
      </c>
      <c r="B3" t="s">
        <v>166</v>
      </c>
      <c r="C3" t="s">
        <v>166</v>
      </c>
      <c r="D3" t="s">
        <v>167</v>
      </c>
      <c r="E3" t="s">
        <v>166</v>
      </c>
      <c r="F3" t="s">
        <v>166</v>
      </c>
      <c r="G3" t="s">
        <v>166</v>
      </c>
      <c r="H3" t="s">
        <v>166</v>
      </c>
      <c r="I3" t="s">
        <v>168</v>
      </c>
      <c r="J3" t="s">
        <v>166</v>
      </c>
      <c r="K3" t="s">
        <v>166</v>
      </c>
      <c r="L3" t="s">
        <v>167</v>
      </c>
      <c r="M3" t="s">
        <v>166</v>
      </c>
      <c r="N3" t="s">
        <v>166</v>
      </c>
      <c r="O3" t="s">
        <v>166</v>
      </c>
      <c r="P3" t="s">
        <v>166</v>
      </c>
      <c r="Q3" t="s">
        <v>166</v>
      </c>
      <c r="R3" t="s">
        <v>166</v>
      </c>
      <c r="S3" t="s">
        <v>166</v>
      </c>
      <c r="T3" t="s">
        <v>166</v>
      </c>
      <c r="U3" t="s">
        <v>169</v>
      </c>
      <c r="V3" s="19">
        <v>-0.02</v>
      </c>
      <c r="W3" t="s">
        <v>170</v>
      </c>
      <c r="X3" t="s">
        <v>166</v>
      </c>
      <c r="Z3" t="s">
        <v>171</v>
      </c>
      <c r="AA3" t="s">
        <v>171</v>
      </c>
      <c r="AD3" t="s">
        <v>171</v>
      </c>
      <c r="AG3" s="10">
        <v>41472</v>
      </c>
      <c r="AH3" t="s">
        <v>37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7"/>
  <sheetViews>
    <sheetView zoomScaleNormal="100" workbookViewId="0">
      <selection activeCell="B29" sqref="B29"/>
    </sheetView>
  </sheetViews>
  <sheetFormatPr defaultRowHeight="15"/>
  <cols>
    <col min="2" max="2" width="29.42578125" customWidth="1"/>
    <col min="3" max="3" width="22.7109375" customWidth="1"/>
    <col min="4" max="4" width="26.7109375" customWidth="1"/>
  </cols>
  <sheetData>
    <row r="1" spans="1:4">
      <c r="A1" s="28" t="s">
        <v>30</v>
      </c>
      <c r="B1" s="28" t="s">
        <v>177</v>
      </c>
      <c r="C1" s="28" t="s">
        <v>189</v>
      </c>
      <c r="D1" s="28" t="s">
        <v>213</v>
      </c>
    </row>
    <row r="2" spans="1:4">
      <c r="A2" s="35" t="s">
        <v>35</v>
      </c>
      <c r="B2" s="24" t="s">
        <v>192</v>
      </c>
      <c r="C2" s="24">
        <v>7.1428571429999996</v>
      </c>
      <c r="D2" s="24">
        <v>0.25</v>
      </c>
    </row>
    <row r="3" spans="1:4" s="29" customFormat="1">
      <c r="A3" s="36" t="s">
        <v>35</v>
      </c>
      <c r="B3" s="30" t="s">
        <v>193</v>
      </c>
      <c r="C3" s="30">
        <v>98.780487800000003</v>
      </c>
      <c r="D3" s="30">
        <v>20.25</v>
      </c>
    </row>
    <row r="4" spans="1:4">
      <c r="A4" s="35" t="s">
        <v>35</v>
      </c>
      <c r="B4" s="24" t="s">
        <v>6</v>
      </c>
      <c r="C4" s="24">
        <v>93.939393940000002</v>
      </c>
      <c r="D4" s="24">
        <v>7.75</v>
      </c>
    </row>
    <row r="5" spans="1:4" s="31" customFormat="1">
      <c r="A5" s="36" t="s">
        <v>35</v>
      </c>
      <c r="B5" s="30" t="s">
        <v>195</v>
      </c>
      <c r="C5" s="30">
        <v>100</v>
      </c>
      <c r="D5" s="30">
        <v>8</v>
      </c>
    </row>
    <row r="6" spans="1:4">
      <c r="A6" s="35" t="s">
        <v>35</v>
      </c>
      <c r="B6" s="24" t="s">
        <v>196</v>
      </c>
      <c r="C6" s="24">
        <v>100</v>
      </c>
      <c r="D6" s="24">
        <v>0.25</v>
      </c>
    </row>
    <row r="7" spans="1:4" s="31" customFormat="1">
      <c r="A7" s="36" t="s">
        <v>35</v>
      </c>
      <c r="B7" s="30" t="s">
        <v>197</v>
      </c>
      <c r="C7" s="30">
        <v>100</v>
      </c>
      <c r="D7" s="30">
        <v>0.75</v>
      </c>
    </row>
    <row r="8" spans="1:4">
      <c r="A8" s="35" t="s">
        <v>35</v>
      </c>
      <c r="B8" s="24" t="s">
        <v>198</v>
      </c>
      <c r="C8" s="24">
        <v>100</v>
      </c>
      <c r="D8" s="24">
        <v>0.5</v>
      </c>
    </row>
    <row r="9" spans="1:4" s="31" customFormat="1">
      <c r="A9" s="36" t="s">
        <v>35</v>
      </c>
      <c r="B9" s="30" t="s">
        <v>199</v>
      </c>
      <c r="C9" s="30">
        <v>100</v>
      </c>
      <c r="D9" s="30">
        <v>1</v>
      </c>
    </row>
    <row r="10" spans="1:4">
      <c r="A10" s="35" t="s">
        <v>35</v>
      </c>
      <c r="B10" s="24" t="s">
        <v>191</v>
      </c>
      <c r="C10" s="24">
        <v>100</v>
      </c>
      <c r="D10" s="24">
        <v>1.75</v>
      </c>
    </row>
    <row r="11" spans="1:4" s="31" customFormat="1">
      <c r="A11" s="36" t="s">
        <v>35</v>
      </c>
      <c r="B11" s="30" t="s">
        <v>200</v>
      </c>
      <c r="C11" s="30">
        <v>100</v>
      </c>
      <c r="D11" s="30">
        <v>0.25</v>
      </c>
    </row>
    <row r="12" spans="1:4">
      <c r="A12" s="35" t="s">
        <v>35</v>
      </c>
      <c r="B12" s="24" t="s">
        <v>201</v>
      </c>
      <c r="C12" s="24">
        <v>100</v>
      </c>
      <c r="D12" s="24">
        <v>2.5</v>
      </c>
    </row>
    <row r="13" spans="1:4" s="31" customFormat="1">
      <c r="A13" s="36" t="s">
        <v>35</v>
      </c>
      <c r="B13" s="32" t="s">
        <v>202</v>
      </c>
      <c r="C13" s="30">
        <v>100</v>
      </c>
      <c r="D13" s="30">
        <v>1.25</v>
      </c>
    </row>
    <row r="14" spans="1:4">
      <c r="A14" s="35" t="s">
        <v>35</v>
      </c>
      <c r="B14" s="24" t="s">
        <v>203</v>
      </c>
      <c r="C14" s="24">
        <v>100</v>
      </c>
      <c r="D14" s="24">
        <v>1.25</v>
      </c>
    </row>
    <row r="15" spans="1:4" s="31" customFormat="1">
      <c r="A15" s="36" t="s">
        <v>35</v>
      </c>
      <c r="B15" s="30" t="s">
        <v>204</v>
      </c>
      <c r="C15" s="30">
        <v>100</v>
      </c>
      <c r="D15" s="30">
        <v>0.75</v>
      </c>
    </row>
    <row r="16" spans="1:4">
      <c r="A16" s="35" t="s">
        <v>35</v>
      </c>
      <c r="B16" s="24" t="s">
        <v>205</v>
      </c>
      <c r="C16" s="24">
        <v>100</v>
      </c>
      <c r="D16" s="24">
        <v>11</v>
      </c>
    </row>
    <row r="17" spans="1:4" s="31" customFormat="1">
      <c r="A17" s="36" t="s">
        <v>35</v>
      </c>
      <c r="B17" s="30" t="s">
        <v>194</v>
      </c>
      <c r="C17" s="30">
        <v>100</v>
      </c>
      <c r="D17" s="30">
        <v>7.25</v>
      </c>
    </row>
    <row r="18" spans="1:4">
      <c r="A18" s="35" t="s">
        <v>35</v>
      </c>
      <c r="B18" s="24" t="s">
        <v>206</v>
      </c>
      <c r="C18" s="24">
        <v>100</v>
      </c>
      <c r="D18" s="24">
        <v>0.5</v>
      </c>
    </row>
    <row r="19" spans="1:4" s="31" customFormat="1">
      <c r="A19" s="36" t="s">
        <v>35</v>
      </c>
      <c r="B19" s="30" t="s">
        <v>207</v>
      </c>
      <c r="C19" s="30">
        <v>100</v>
      </c>
      <c r="D19" s="30">
        <v>0.25</v>
      </c>
    </row>
    <row r="20" spans="1:4">
      <c r="A20" s="35" t="s">
        <v>35</v>
      </c>
      <c r="B20" s="24" t="s">
        <v>13</v>
      </c>
      <c r="C20" s="24">
        <v>100</v>
      </c>
      <c r="D20" s="24">
        <v>0.25</v>
      </c>
    </row>
    <row r="21" spans="1:4" s="31" customFormat="1">
      <c r="A21" s="36" t="s">
        <v>35</v>
      </c>
      <c r="B21" s="30" t="s">
        <v>208</v>
      </c>
      <c r="C21" s="30">
        <v>100</v>
      </c>
      <c r="D21" s="30">
        <v>0.5</v>
      </c>
    </row>
    <row r="22" spans="1:4">
      <c r="A22" s="35" t="s">
        <v>35</v>
      </c>
      <c r="B22" s="25" t="s">
        <v>209</v>
      </c>
      <c r="C22" s="24">
        <v>100</v>
      </c>
      <c r="D22" s="24">
        <v>0.25</v>
      </c>
    </row>
    <row r="23" spans="1:4" s="31" customFormat="1">
      <c r="A23" s="36" t="s">
        <v>35</v>
      </c>
      <c r="B23" s="30" t="s">
        <v>210</v>
      </c>
      <c r="C23" s="30">
        <v>100</v>
      </c>
      <c r="D23" s="30">
        <v>0.5</v>
      </c>
    </row>
    <row r="24" spans="1:4">
      <c r="A24" s="35" t="s">
        <v>35</v>
      </c>
      <c r="B24" s="24" t="s">
        <v>211</v>
      </c>
      <c r="C24" s="24">
        <v>100</v>
      </c>
      <c r="D24" s="24">
        <v>0.25</v>
      </c>
    </row>
    <row r="25" spans="1:4" s="31" customFormat="1">
      <c r="A25" s="36" t="s">
        <v>35</v>
      </c>
      <c r="B25" s="30" t="s">
        <v>212</v>
      </c>
      <c r="C25" s="30">
        <v>100</v>
      </c>
      <c r="D25" s="30">
        <v>0.25</v>
      </c>
    </row>
    <row r="26" spans="1:4">
      <c r="A26" s="35" t="s">
        <v>35</v>
      </c>
      <c r="B26" s="24" t="s">
        <v>20</v>
      </c>
      <c r="C26" s="24">
        <v>100</v>
      </c>
      <c r="D26" s="24">
        <v>1.75</v>
      </c>
    </row>
    <row r="27" spans="1:4" s="37" customFormat="1"/>
  </sheetData>
  <phoneticPr fontId="0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B20" sqref="B20"/>
    </sheetView>
  </sheetViews>
  <sheetFormatPr defaultRowHeight="15"/>
  <cols>
    <col min="2" max="2" width="21.7109375" customWidth="1"/>
    <col min="3" max="3" width="14.85546875" customWidth="1"/>
    <col min="4" max="4" width="22.85546875" customWidth="1"/>
  </cols>
  <sheetData>
    <row r="1" spans="1:4">
      <c r="A1" s="26" t="s">
        <v>30</v>
      </c>
      <c r="B1" s="26" t="s">
        <v>177</v>
      </c>
      <c r="C1" s="26" t="s">
        <v>190</v>
      </c>
      <c r="D1" s="26" t="s">
        <v>214</v>
      </c>
    </row>
    <row r="2" spans="1:4" s="37" customFormat="1">
      <c r="A2" s="38" t="s">
        <v>35</v>
      </c>
      <c r="B2" s="38" t="s">
        <v>191</v>
      </c>
      <c r="C2" s="38">
        <v>100</v>
      </c>
      <c r="D2" s="38">
        <v>0.25</v>
      </c>
    </row>
    <row r="3" spans="1:4">
      <c r="A3" s="27" t="s">
        <v>35</v>
      </c>
      <c r="B3" s="27" t="s">
        <v>192</v>
      </c>
      <c r="C3" s="27">
        <v>6.6669999999999998</v>
      </c>
      <c r="D3" s="27">
        <v>0.25</v>
      </c>
    </row>
    <row r="4" spans="1:4" s="37" customFormat="1">
      <c r="A4" s="38" t="s">
        <v>35</v>
      </c>
      <c r="B4" s="38" t="s">
        <v>193</v>
      </c>
      <c r="C4" s="38">
        <v>10.86956522</v>
      </c>
      <c r="D4" s="38">
        <v>2.5</v>
      </c>
    </row>
    <row r="5" spans="1:4">
      <c r="A5" s="27" t="s">
        <v>35</v>
      </c>
      <c r="B5" s="27" t="s">
        <v>194</v>
      </c>
      <c r="C5" s="27">
        <v>3.3332999999999999</v>
      </c>
      <c r="D5" s="27">
        <v>0.25</v>
      </c>
    </row>
    <row r="6" spans="1:4" s="37" customFormat="1">
      <c r="A6" s="38" t="s">
        <v>35</v>
      </c>
      <c r="B6" s="38" t="s">
        <v>20</v>
      </c>
      <c r="C6" s="38">
        <v>22.222200000000001</v>
      </c>
      <c r="D6" s="38">
        <v>0.5</v>
      </c>
    </row>
  </sheetData>
  <phoneticPr fontId="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>
      <selection activeCell="A33" sqref="A33"/>
    </sheetView>
  </sheetViews>
  <sheetFormatPr defaultRowHeight="15"/>
  <cols>
    <col min="4" max="4" width="23" customWidth="1"/>
  </cols>
  <sheetData>
    <row r="1" spans="1:5">
      <c r="A1" s="4" t="s">
        <v>30</v>
      </c>
      <c r="B1" s="4" t="s">
        <v>178</v>
      </c>
      <c r="C1" s="4" t="s">
        <v>176</v>
      </c>
      <c r="D1" s="4" t="s">
        <v>177</v>
      </c>
    </row>
    <row r="2" spans="1:5">
      <c r="A2" t="s">
        <v>35</v>
      </c>
      <c r="B2">
        <v>2009</v>
      </c>
      <c r="C2">
        <v>13</v>
      </c>
      <c r="D2" t="s">
        <v>179</v>
      </c>
    </row>
    <row r="3" spans="1:5">
      <c r="A3" t="s">
        <v>35</v>
      </c>
      <c r="B3">
        <v>2009</v>
      </c>
      <c r="C3">
        <v>2</v>
      </c>
      <c r="D3" t="s">
        <v>6</v>
      </c>
    </row>
    <row r="4" spans="1:5">
      <c r="A4" t="s">
        <v>35</v>
      </c>
      <c r="B4">
        <v>2009</v>
      </c>
      <c r="C4">
        <v>1</v>
      </c>
      <c r="D4" t="s">
        <v>3</v>
      </c>
    </row>
    <row r="5" spans="1:5">
      <c r="A5" t="s">
        <v>35</v>
      </c>
      <c r="B5">
        <v>2009</v>
      </c>
      <c r="C5">
        <v>1</v>
      </c>
      <c r="D5" t="s">
        <v>180</v>
      </c>
    </row>
    <row r="6" spans="1:5">
      <c r="A6" t="s">
        <v>35</v>
      </c>
      <c r="B6">
        <v>2013</v>
      </c>
      <c r="C6">
        <v>15</v>
      </c>
      <c r="D6" t="s">
        <v>179</v>
      </c>
    </row>
    <row r="7" spans="1:5">
      <c r="A7" t="s">
        <v>35</v>
      </c>
      <c r="B7">
        <v>2013</v>
      </c>
      <c r="C7">
        <v>32</v>
      </c>
      <c r="D7" t="s">
        <v>85</v>
      </c>
    </row>
    <row r="8" spans="1:5">
      <c r="A8" t="s">
        <v>35</v>
      </c>
      <c r="B8">
        <v>2013</v>
      </c>
      <c r="C8">
        <v>1</v>
      </c>
      <c r="D8" t="s">
        <v>9</v>
      </c>
    </row>
    <row r="9" spans="1:5">
      <c r="A9" t="s">
        <v>35</v>
      </c>
      <c r="B9">
        <v>2013</v>
      </c>
      <c r="C9">
        <v>1</v>
      </c>
      <c r="D9" t="s">
        <v>8</v>
      </c>
    </row>
    <row r="10" spans="1:5">
      <c r="A10" t="s">
        <v>35</v>
      </c>
      <c r="B10">
        <v>2013</v>
      </c>
      <c r="C10">
        <v>2</v>
      </c>
      <c r="D10" t="s">
        <v>181</v>
      </c>
    </row>
    <row r="11" spans="1:5">
      <c r="A11" t="s">
        <v>35</v>
      </c>
      <c r="B11">
        <v>2013</v>
      </c>
      <c r="C11">
        <v>2</v>
      </c>
      <c r="D11" t="s">
        <v>23</v>
      </c>
    </row>
    <row r="12" spans="1:5">
      <c r="A12" t="s">
        <v>35</v>
      </c>
      <c r="B12">
        <v>2013</v>
      </c>
      <c r="C12">
        <v>4</v>
      </c>
      <c r="D12" t="s">
        <v>182</v>
      </c>
    </row>
    <row r="13" spans="1:5">
      <c r="A13" t="s">
        <v>35</v>
      </c>
      <c r="B13">
        <v>2013</v>
      </c>
      <c r="C13">
        <v>7</v>
      </c>
      <c r="D13" t="s">
        <v>19</v>
      </c>
    </row>
    <row r="14" spans="1:5">
      <c r="A14" t="s">
        <v>35</v>
      </c>
      <c r="B14">
        <v>2013</v>
      </c>
      <c r="C14">
        <v>1</v>
      </c>
      <c r="D14" t="s">
        <v>29</v>
      </c>
    </row>
    <row r="15" spans="1:5">
      <c r="A15" t="s">
        <v>35</v>
      </c>
      <c r="B15">
        <v>2013</v>
      </c>
      <c r="C15">
        <v>92</v>
      </c>
      <c r="D15" t="s">
        <v>3</v>
      </c>
      <c r="E15" t="s">
        <v>183</v>
      </c>
    </row>
    <row r="16" spans="1:5">
      <c r="A16" t="s">
        <v>35</v>
      </c>
      <c r="B16">
        <v>2013</v>
      </c>
      <c r="C16">
        <v>10</v>
      </c>
      <c r="D16" t="s">
        <v>10</v>
      </c>
    </row>
    <row r="17" spans="1:5">
      <c r="A17" t="s">
        <v>35</v>
      </c>
      <c r="B17">
        <v>2013</v>
      </c>
      <c r="C17">
        <v>5</v>
      </c>
      <c r="D17" t="s">
        <v>14</v>
      </c>
    </row>
    <row r="18" spans="1:5">
      <c r="A18" t="s">
        <v>35</v>
      </c>
      <c r="B18">
        <v>2013</v>
      </c>
      <c r="C18">
        <v>1</v>
      </c>
      <c r="D18" t="s">
        <v>21</v>
      </c>
    </row>
    <row r="19" spans="1:5">
      <c r="A19" t="s">
        <v>35</v>
      </c>
      <c r="B19">
        <v>2013</v>
      </c>
      <c r="C19">
        <v>4</v>
      </c>
      <c r="D19" t="s">
        <v>11</v>
      </c>
    </row>
    <row r="20" spans="1:5">
      <c r="A20" t="s">
        <v>35</v>
      </c>
      <c r="B20">
        <v>2013</v>
      </c>
      <c r="C20">
        <v>3</v>
      </c>
      <c r="D20" t="s">
        <v>184</v>
      </c>
    </row>
    <row r="21" spans="1:5">
      <c r="A21" t="s">
        <v>35</v>
      </c>
      <c r="B21">
        <v>2013</v>
      </c>
      <c r="C21">
        <v>44</v>
      </c>
      <c r="D21" t="s">
        <v>16</v>
      </c>
    </row>
    <row r="22" spans="1:5">
      <c r="A22" t="s">
        <v>35</v>
      </c>
      <c r="B22">
        <v>2013</v>
      </c>
      <c r="C22">
        <v>30</v>
      </c>
      <c r="D22" t="s">
        <v>5</v>
      </c>
      <c r="E22" t="s">
        <v>185</v>
      </c>
    </row>
    <row r="23" spans="1:5">
      <c r="A23" t="s">
        <v>35</v>
      </c>
      <c r="B23">
        <v>2013</v>
      </c>
      <c r="C23">
        <v>33</v>
      </c>
      <c r="D23" t="s">
        <v>6</v>
      </c>
    </row>
    <row r="24" spans="1:5">
      <c r="A24" t="s">
        <v>35</v>
      </c>
      <c r="B24">
        <v>2013</v>
      </c>
      <c r="C24">
        <v>2</v>
      </c>
      <c r="D24" t="s">
        <v>15</v>
      </c>
    </row>
    <row r="25" spans="1:5">
      <c r="A25" t="s">
        <v>35</v>
      </c>
      <c r="B25">
        <v>2013</v>
      </c>
      <c r="C25">
        <v>1</v>
      </c>
      <c r="D25" t="s">
        <v>22</v>
      </c>
    </row>
    <row r="26" spans="1:5">
      <c r="A26" t="s">
        <v>35</v>
      </c>
      <c r="B26">
        <v>2013</v>
      </c>
      <c r="C26">
        <v>1</v>
      </c>
      <c r="D26" t="s">
        <v>13</v>
      </c>
    </row>
    <row r="27" spans="1:5">
      <c r="A27" t="s">
        <v>35</v>
      </c>
      <c r="B27">
        <v>2013</v>
      </c>
      <c r="C27">
        <v>2</v>
      </c>
      <c r="D27" t="s">
        <v>186</v>
      </c>
    </row>
    <row r="28" spans="1:5">
      <c r="A28" t="s">
        <v>35</v>
      </c>
      <c r="B28">
        <v>2013</v>
      </c>
      <c r="C28">
        <v>1</v>
      </c>
      <c r="D28" t="s">
        <v>26</v>
      </c>
    </row>
    <row r="29" spans="1:5">
      <c r="A29" t="s">
        <v>35</v>
      </c>
      <c r="B29">
        <v>2013</v>
      </c>
      <c r="C29">
        <v>2</v>
      </c>
      <c r="D29" t="s">
        <v>27</v>
      </c>
    </row>
    <row r="30" spans="1:5">
      <c r="A30" t="s">
        <v>35</v>
      </c>
      <c r="B30">
        <v>2013</v>
      </c>
      <c r="C30">
        <v>1</v>
      </c>
      <c r="D30" t="s">
        <v>24</v>
      </c>
    </row>
    <row r="31" spans="1:5">
      <c r="A31" t="s">
        <v>35</v>
      </c>
      <c r="B31">
        <v>2013</v>
      </c>
      <c r="C31">
        <v>1</v>
      </c>
      <c r="D31" t="s">
        <v>28</v>
      </c>
    </row>
    <row r="32" spans="1:5">
      <c r="A32" t="s">
        <v>35</v>
      </c>
      <c r="B32">
        <v>2013</v>
      </c>
      <c r="C32">
        <v>9</v>
      </c>
      <c r="D32" t="s">
        <v>187</v>
      </c>
      <c r="E32" t="s">
        <v>188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5"/>
  <sheetViews>
    <sheetView workbookViewId="0">
      <selection activeCell="I19" sqref="I19"/>
    </sheetView>
  </sheetViews>
  <sheetFormatPr defaultRowHeight="15"/>
  <cols>
    <col min="2" max="2" width="23.7109375" customWidth="1"/>
    <col min="3" max="3" width="13.7109375" customWidth="1"/>
    <col min="4" max="4" width="31.7109375" customWidth="1"/>
    <col min="5" max="5" width="15.7109375" customWidth="1"/>
    <col min="6" max="6" width="11.7109375" customWidth="1"/>
  </cols>
  <sheetData>
    <row r="1" spans="1:5">
      <c r="A1" s="4" t="s">
        <v>30</v>
      </c>
      <c r="B1" s="4" t="s">
        <v>177</v>
      </c>
      <c r="C1" s="4"/>
      <c r="D1" s="4" t="s">
        <v>216</v>
      </c>
      <c r="E1" s="4" t="s">
        <v>215</v>
      </c>
    </row>
    <row r="2" spans="1:5">
      <c r="A2" t="s">
        <v>35</v>
      </c>
      <c r="B2" t="s">
        <v>55</v>
      </c>
      <c r="C2" t="s">
        <v>56</v>
      </c>
      <c r="D2">
        <v>1.62</v>
      </c>
      <c r="E2">
        <v>4.05</v>
      </c>
    </row>
    <row r="3" spans="1:5">
      <c r="A3" t="s">
        <v>35</v>
      </c>
      <c r="B3" t="s">
        <v>57</v>
      </c>
      <c r="D3">
        <v>0.15</v>
      </c>
      <c r="E3">
        <v>0.375</v>
      </c>
    </row>
    <row r="4" spans="1:5">
      <c r="A4" t="s">
        <v>35</v>
      </c>
      <c r="B4" t="s">
        <v>58</v>
      </c>
      <c r="C4" t="s">
        <v>59</v>
      </c>
      <c r="D4">
        <v>0.63</v>
      </c>
      <c r="E4">
        <v>1.575</v>
      </c>
    </row>
    <row r="5" spans="1:5">
      <c r="A5" t="s">
        <v>35</v>
      </c>
      <c r="B5" t="s">
        <v>61</v>
      </c>
      <c r="D5">
        <v>2.516</v>
      </c>
      <c r="E5">
        <v>6.29</v>
      </c>
    </row>
    <row r="6" spans="1:5">
      <c r="A6" t="s">
        <v>35</v>
      </c>
      <c r="B6" t="s">
        <v>62</v>
      </c>
      <c r="D6">
        <v>1.51</v>
      </c>
      <c r="E6">
        <v>3.7749999999999999</v>
      </c>
    </row>
    <row r="7" spans="1:5">
      <c r="A7" t="s">
        <v>35</v>
      </c>
      <c r="B7" t="s">
        <v>63</v>
      </c>
      <c r="D7">
        <v>17.22</v>
      </c>
      <c r="E7">
        <v>43.05</v>
      </c>
    </row>
    <row r="8" spans="1:5">
      <c r="A8" t="s">
        <v>35</v>
      </c>
      <c r="B8" t="s">
        <v>64</v>
      </c>
      <c r="C8" t="s">
        <v>65</v>
      </c>
      <c r="D8">
        <v>0.04</v>
      </c>
      <c r="E8">
        <v>0.1</v>
      </c>
    </row>
    <row r="9" spans="1:5">
      <c r="A9" t="s">
        <v>35</v>
      </c>
      <c r="B9" t="s">
        <v>66</v>
      </c>
      <c r="D9">
        <v>1.24</v>
      </c>
      <c r="E9">
        <v>3.1</v>
      </c>
    </row>
    <row r="10" spans="1:5">
      <c r="A10" t="s">
        <v>35</v>
      </c>
      <c r="B10" t="s">
        <v>67</v>
      </c>
      <c r="C10" t="s">
        <v>68</v>
      </c>
      <c r="D10">
        <v>6.83</v>
      </c>
      <c r="E10">
        <v>17.074999999999999</v>
      </c>
    </row>
    <row r="11" spans="1:5">
      <c r="A11" t="s">
        <v>35</v>
      </c>
      <c r="B11" t="s">
        <v>114</v>
      </c>
      <c r="C11" t="s">
        <v>174</v>
      </c>
      <c r="D11">
        <v>0.28999999999999998</v>
      </c>
      <c r="E11">
        <v>0.72499999999999998</v>
      </c>
    </row>
    <row r="12" spans="1:5">
      <c r="A12" t="s">
        <v>35</v>
      </c>
      <c r="B12" t="s">
        <v>69</v>
      </c>
      <c r="D12">
        <v>1.35</v>
      </c>
      <c r="E12">
        <v>3.375</v>
      </c>
    </row>
    <row r="13" spans="1:5">
      <c r="A13" t="s">
        <v>35</v>
      </c>
      <c r="B13" s="33" t="s">
        <v>70</v>
      </c>
      <c r="C13" s="33" t="s">
        <v>71</v>
      </c>
      <c r="D13" s="33">
        <v>0.24</v>
      </c>
      <c r="E13">
        <v>0.6</v>
      </c>
    </row>
    <row r="14" spans="1:5">
      <c r="A14" t="s">
        <v>35</v>
      </c>
      <c r="B14" s="33" t="s">
        <v>74</v>
      </c>
      <c r="C14" s="33" t="s">
        <v>75</v>
      </c>
      <c r="D14" s="33">
        <v>0.12</v>
      </c>
      <c r="E14">
        <v>0.3</v>
      </c>
    </row>
    <row r="15" spans="1:5">
      <c r="A15" t="s">
        <v>35</v>
      </c>
      <c r="B15" s="33" t="s">
        <v>72</v>
      </c>
      <c r="C15" s="33" t="s">
        <v>73</v>
      </c>
      <c r="D15" s="33">
        <v>0.76</v>
      </c>
      <c r="E15">
        <v>1.9</v>
      </c>
    </row>
    <row r="16" spans="1:5">
      <c r="A16" t="s">
        <v>35</v>
      </c>
      <c r="B16" s="33" t="s">
        <v>76</v>
      </c>
      <c r="C16" s="33" t="s">
        <v>77</v>
      </c>
      <c r="D16" s="33">
        <v>0.08</v>
      </c>
      <c r="E16">
        <v>0.2</v>
      </c>
    </row>
    <row r="17" spans="1:5">
      <c r="A17" t="s">
        <v>35</v>
      </c>
      <c r="B17" s="33" t="s">
        <v>78</v>
      </c>
      <c r="C17" s="33" t="s">
        <v>79</v>
      </c>
      <c r="D17" s="33">
        <v>0.13</v>
      </c>
      <c r="E17">
        <v>0.32500000000000001</v>
      </c>
    </row>
    <row r="18" spans="1:5">
      <c r="A18" t="s">
        <v>35</v>
      </c>
      <c r="B18" s="33" t="s">
        <v>82</v>
      </c>
      <c r="C18" s="33"/>
      <c r="D18" s="33">
        <v>3.79</v>
      </c>
      <c r="E18">
        <v>9.4749999999999996</v>
      </c>
    </row>
    <row r="19" spans="1:5">
      <c r="A19" t="s">
        <v>35</v>
      </c>
      <c r="B19" s="33" t="s">
        <v>83</v>
      </c>
      <c r="C19" s="33"/>
      <c r="D19" s="33">
        <v>1.36</v>
      </c>
      <c r="E19">
        <v>3.4</v>
      </c>
    </row>
    <row r="20" spans="1:5">
      <c r="A20" t="s">
        <v>35</v>
      </c>
      <c r="B20" s="33" t="s">
        <v>86</v>
      </c>
      <c r="C20" s="33"/>
      <c r="D20" s="23">
        <v>0.08</v>
      </c>
      <c r="E20">
        <v>0.2</v>
      </c>
    </row>
    <row r="21" spans="1:5">
      <c r="A21" t="s">
        <v>35</v>
      </c>
      <c r="B21" s="33" t="s">
        <v>87</v>
      </c>
      <c r="C21" s="33"/>
      <c r="D21" s="23">
        <v>0.86</v>
      </c>
      <c r="E21">
        <v>2.15</v>
      </c>
    </row>
    <row r="22" spans="1:5">
      <c r="A22" t="s">
        <v>35</v>
      </c>
      <c r="B22" s="33" t="s">
        <v>88</v>
      </c>
      <c r="C22" s="33"/>
      <c r="D22" s="23">
        <v>0.2</v>
      </c>
      <c r="E22">
        <v>0.5</v>
      </c>
    </row>
    <row r="23" spans="1:5">
      <c r="A23" t="s">
        <v>35</v>
      </c>
      <c r="B23" s="33" t="s">
        <v>89</v>
      </c>
      <c r="C23" s="33"/>
      <c r="D23" s="23">
        <v>0.18</v>
      </c>
      <c r="E23">
        <v>0.45</v>
      </c>
    </row>
    <row r="24" spans="1:5">
      <c r="A24" t="s">
        <v>35</v>
      </c>
      <c r="B24" s="33" t="s">
        <v>90</v>
      </c>
      <c r="C24" s="33"/>
      <c r="D24" s="23">
        <v>0.45</v>
      </c>
      <c r="E24">
        <v>1.125</v>
      </c>
    </row>
    <row r="25" spans="1:5">
      <c r="A25" t="s">
        <v>35</v>
      </c>
      <c r="B25" s="33" t="s">
        <v>91</v>
      </c>
      <c r="C25" s="33"/>
      <c r="D25" s="23">
        <v>0.11</v>
      </c>
      <c r="E25">
        <v>0.27500000000000002</v>
      </c>
    </row>
    <row r="26" spans="1:5">
      <c r="A26" t="s">
        <v>35</v>
      </c>
      <c r="B26" s="33" t="s">
        <v>92</v>
      </c>
      <c r="C26" s="33"/>
      <c r="D26" s="23">
        <v>0.38</v>
      </c>
      <c r="E26">
        <v>0.95</v>
      </c>
    </row>
    <row r="27" spans="1:5">
      <c r="A27" t="s">
        <v>35</v>
      </c>
      <c r="B27" s="33" t="s">
        <v>93</v>
      </c>
      <c r="C27" s="33"/>
      <c r="D27" s="23">
        <v>0.06</v>
      </c>
      <c r="E27">
        <v>0.15</v>
      </c>
    </row>
    <row r="28" spans="1:5">
      <c r="A28" t="s">
        <v>35</v>
      </c>
      <c r="B28" s="33" t="s">
        <v>94</v>
      </c>
      <c r="C28" s="33"/>
      <c r="D28" s="23">
        <v>0.03</v>
      </c>
      <c r="E28">
        <v>7.4999999999999997E-2</v>
      </c>
    </row>
    <row r="29" spans="1:5">
      <c r="A29" t="s">
        <v>35</v>
      </c>
      <c r="B29" s="33" t="s">
        <v>58</v>
      </c>
      <c r="C29" s="33" t="s">
        <v>59</v>
      </c>
      <c r="D29" s="23">
        <v>0.74</v>
      </c>
      <c r="E29">
        <v>1.85</v>
      </c>
    </row>
    <row r="30" spans="1:5">
      <c r="A30" t="s">
        <v>35</v>
      </c>
      <c r="B30" s="33" t="s">
        <v>95</v>
      </c>
      <c r="C30" s="33" t="s">
        <v>96</v>
      </c>
      <c r="D30" s="23">
        <v>0.08</v>
      </c>
      <c r="E30">
        <v>0.2</v>
      </c>
    </row>
    <row r="31" spans="1:5">
      <c r="A31" t="s">
        <v>35</v>
      </c>
      <c r="B31" s="33" t="s">
        <v>97</v>
      </c>
      <c r="C31" s="33"/>
      <c r="D31" s="33">
        <v>0.66</v>
      </c>
      <c r="E31">
        <v>1.65</v>
      </c>
    </row>
    <row r="32" spans="1:5">
      <c r="A32" t="s">
        <v>35</v>
      </c>
      <c r="B32" s="33" t="s">
        <v>99</v>
      </c>
      <c r="C32" s="33" t="s">
        <v>100</v>
      </c>
      <c r="D32" s="23">
        <v>0.65</v>
      </c>
      <c r="E32">
        <v>1.625</v>
      </c>
    </row>
    <row r="33" spans="1:5">
      <c r="A33" t="s">
        <v>35</v>
      </c>
      <c r="B33" s="33" t="s">
        <v>105</v>
      </c>
      <c r="C33" s="33" t="s">
        <v>104</v>
      </c>
      <c r="D33" s="23">
        <v>1.36</v>
      </c>
      <c r="E33">
        <v>3.4</v>
      </c>
    </row>
    <row r="34" spans="1:5">
      <c r="A34" t="s">
        <v>35</v>
      </c>
      <c r="B34" s="33" t="s">
        <v>101</v>
      </c>
      <c r="C34" s="33"/>
      <c r="D34" s="23">
        <v>0.04</v>
      </c>
      <c r="E34">
        <v>0.1</v>
      </c>
    </row>
    <row r="35" spans="1:5">
      <c r="A35" t="s">
        <v>35</v>
      </c>
      <c r="B35" s="33" t="s">
        <v>102</v>
      </c>
      <c r="C35" s="33" t="s">
        <v>103</v>
      </c>
      <c r="D35" s="23">
        <v>0.22</v>
      </c>
      <c r="E35">
        <v>0.55000000000000004</v>
      </c>
    </row>
    <row r="36" spans="1:5">
      <c r="A36" t="s">
        <v>35</v>
      </c>
      <c r="B36" s="33" t="s">
        <v>106</v>
      </c>
      <c r="C36" s="33" t="s">
        <v>107</v>
      </c>
      <c r="D36" s="23">
        <v>0.32</v>
      </c>
      <c r="E36">
        <v>0.8</v>
      </c>
    </row>
    <row r="37" spans="1:5">
      <c r="A37" t="s">
        <v>35</v>
      </c>
      <c r="B37" s="33" t="s">
        <v>108</v>
      </c>
      <c r="C37" s="33" t="s">
        <v>109</v>
      </c>
      <c r="D37" s="33">
        <v>0.53</v>
      </c>
      <c r="E37">
        <v>1.325</v>
      </c>
    </row>
    <row r="38" spans="1:5">
      <c r="A38" t="s">
        <v>35</v>
      </c>
      <c r="B38" s="33" t="s">
        <v>110</v>
      </c>
      <c r="C38" s="33" t="s">
        <v>111</v>
      </c>
      <c r="D38" s="23">
        <v>1.74</v>
      </c>
      <c r="E38">
        <v>4.3499999999999996</v>
      </c>
    </row>
    <row r="39" spans="1:5">
      <c r="A39" t="s">
        <v>35</v>
      </c>
      <c r="B39" s="33" t="s">
        <v>113</v>
      </c>
      <c r="C39" s="33"/>
      <c r="D39" s="23">
        <v>0.61</v>
      </c>
      <c r="E39">
        <v>1.5249999999999999</v>
      </c>
    </row>
    <row r="40" spans="1:5">
      <c r="A40" t="s">
        <v>35</v>
      </c>
      <c r="B40" s="33" t="s">
        <v>116</v>
      </c>
      <c r="C40" s="33" t="s">
        <v>107</v>
      </c>
      <c r="D40" s="23">
        <v>0.09</v>
      </c>
      <c r="E40">
        <v>0.22500000000000001</v>
      </c>
    </row>
    <row r="41" spans="1:5">
      <c r="A41" t="s">
        <v>35</v>
      </c>
      <c r="B41" s="33" t="s">
        <v>117</v>
      </c>
      <c r="C41" s="33" t="s">
        <v>118</v>
      </c>
      <c r="D41" s="23">
        <v>0.06</v>
      </c>
      <c r="E41">
        <v>0.15</v>
      </c>
    </row>
    <row r="42" spans="1:5">
      <c r="A42" t="s">
        <v>35</v>
      </c>
      <c r="B42" s="33" t="s">
        <v>119</v>
      </c>
      <c r="C42" s="33"/>
      <c r="D42" s="23">
        <v>0.04</v>
      </c>
      <c r="E42">
        <v>0.1</v>
      </c>
    </row>
    <row r="43" spans="1:5">
      <c r="A43" t="s">
        <v>35</v>
      </c>
      <c r="B43" s="33" t="s">
        <v>120</v>
      </c>
      <c r="C43" s="33" t="s">
        <v>121</v>
      </c>
      <c r="D43" s="23">
        <v>0.03</v>
      </c>
      <c r="E43">
        <v>7.4999999999999997E-2</v>
      </c>
    </row>
    <row r="44" spans="1:5">
      <c r="A44" t="s">
        <v>35</v>
      </c>
      <c r="B44" t="s">
        <v>117</v>
      </c>
      <c r="C44" t="s">
        <v>122</v>
      </c>
      <c r="D44" s="23">
        <v>0.08</v>
      </c>
      <c r="E44">
        <v>0.2</v>
      </c>
    </row>
    <row r="45" spans="1:5">
      <c r="A45" t="s">
        <v>35</v>
      </c>
      <c r="B45" t="s">
        <v>123</v>
      </c>
      <c r="C45" t="s">
        <v>124</v>
      </c>
      <c r="D45" s="23">
        <v>0.1</v>
      </c>
      <c r="E45">
        <v>0.25</v>
      </c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Sapling Mortality</vt:lpstr>
      <vt:lpstr>Herbaceous Cover and Seedlings</vt:lpstr>
      <vt:lpstr>Additional Species</vt:lpstr>
      <vt:lpstr>Site Characteristics</vt:lpstr>
      <vt:lpstr>Regeneration</vt:lpstr>
      <vt:lpstr>Mortality rates</vt:lpstr>
      <vt:lpstr>Quantity</vt:lpstr>
      <vt:lpstr>Herbaceous Percent Cover in 40m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hortstaff</dc:creator>
  <cp:lastModifiedBy>jarcate</cp:lastModifiedBy>
  <cp:lastPrinted>2013-08-05T17:55:44Z</cp:lastPrinted>
  <dcterms:created xsi:type="dcterms:W3CDTF">2013-07-18T14:26:45Z</dcterms:created>
  <dcterms:modified xsi:type="dcterms:W3CDTF">2013-10-04T14:35:48Z</dcterms:modified>
</cp:coreProperties>
</file>